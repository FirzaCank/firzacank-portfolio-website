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履歴書" sheetId="1" state="visible" r:id="rId1"/>
    <sheet xmlns:r="http://schemas.openxmlformats.org/officeDocument/2006/relationships" name="職務経歴書（IT）" sheetId="2" state="visible" r:id="rId2"/>
    <sheet xmlns:r="http://schemas.openxmlformats.org/officeDocument/2006/relationships" name="list" sheetId="3" state="hidden" r:id="rId3"/>
  </sheets>
  <definedNames/>
  <calcPr calcId="124519" fullCalcOnLoad="1"/>
</workbook>
</file>

<file path=xl/styles.xml><?xml version="1.0" encoding="utf-8"?>
<styleSheet xmlns="http://schemas.openxmlformats.org/spreadsheetml/2006/main">
  <numFmts count="2">
    <numFmt numFmtId="164" formatCode="[$-F800]dddd\,\ mmmm\ dd\,\ yyyy"/>
    <numFmt numFmtId="165" formatCode="yyyy&quot;年&quot;m&quot;月&quot;"/>
  </numFmts>
  <fonts count="9">
    <font>
      <name val="Calibri"/>
      <color theme="1"/>
      <sz val="11"/>
      <scheme val="minor"/>
    </font>
    <font>
      <name val="MS Mincho"/>
      <color theme="1"/>
      <sz val="11"/>
    </font>
    <font>
      <name val="MS Mincho"/>
      <color theme="1"/>
      <sz val="20"/>
    </font>
    <font/>
    <font>
      <name val="MS Mincho"/>
      <color rgb="FF7F7F7F"/>
      <sz val="11"/>
    </font>
    <font>
      <name val="MS Mincho"/>
      <color theme="1"/>
      <sz val="12"/>
    </font>
    <font>
      <name val="Calibri"/>
      <color theme="1"/>
    </font>
    <font>
      <name val="MS Mincho"/>
      <color theme="1"/>
      <sz val="10"/>
    </font>
    <font>
      <name val="MS Mincho"/>
      <b val="1"/>
      <color theme="1"/>
      <sz val="11"/>
      <u val="single"/>
    </font>
  </fonts>
  <fills count="3">
    <fill>
      <patternFill/>
    </fill>
    <fill>
      <patternFill patternType="lightGray"/>
    </fill>
    <fill>
      <patternFill patternType="solid">
        <fgColor rgb="FFFEF2CB"/>
        <bgColor rgb="FFFEF2CB"/>
      </patternFill>
    </fill>
  </fills>
  <borders count="74">
    <border/>
    <border>
      <left style="thin">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right style="thin">
        <color rgb="FF000000"/>
      </right>
      <top style="thin">
        <color rgb="FF000000"/>
      </top>
      <bottom style="hair">
        <color rgb="FF000000"/>
      </bottom>
    </border>
    <border>
      <left style="thin">
        <color rgb="FF000000"/>
      </left>
    </border>
    <border>
      <right style="hair">
        <color rgb="FF000000"/>
      </right>
    </border>
    <border>
      <right style="thin">
        <color rgb="FF000000"/>
      </right>
    </border>
    <border>
      <left style="thin">
        <color rgb="FF000000"/>
      </left>
      <bottom style="thin">
        <color rgb="FF000000"/>
      </bottom>
    </border>
    <border>
      <bottom style="thin">
        <color rgb="FF000000"/>
      </bottom>
    </border>
    <border>
      <right style="hair">
        <color rgb="FF000000"/>
      </right>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hair">
        <color rgb="FF000000"/>
      </right>
      <top style="thin">
        <color rgb="FF000000"/>
      </top>
    </border>
    <border>
      <right style="thin">
        <color rgb="FF000000"/>
      </right>
      <top style="thin">
        <color rgb="FF000000"/>
      </top>
    </border>
    <border>
      <left style="hair">
        <color rgb="FF000000"/>
      </left>
      <top style="thin">
        <color rgb="FF000000"/>
      </top>
      <bottom style="hair">
        <color rgb="FF000000"/>
      </bottom>
    </border>
    <border>
      <left style="hair">
        <color rgb="FF000000"/>
      </left>
      <top style="thin">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hair">
        <color rgb="FF000000"/>
      </left>
      <bottom style="hair">
        <color rgb="FF000000"/>
      </bottom>
    </border>
    <border>
      <right style="hair">
        <color rgb="FF000000"/>
      </right>
      <bottom style="hair">
        <color rgb="FF000000"/>
      </bottom>
    </border>
    <border>
      <left style="hair">
        <color rgb="FF000000"/>
      </left>
    </border>
    <border>
      <left style="thin">
        <color rgb="FF000000"/>
      </left>
      <top style="hair">
        <color rgb="FF000000"/>
      </top>
    </border>
    <border>
      <top style="hair">
        <color rgb="FF000000"/>
      </top>
    </border>
    <border>
      <right style="hair">
        <color rgb="FF000000"/>
      </right>
      <top style="hair">
        <color rgb="FF000000"/>
      </top>
    </border>
    <border>
      <left style="hair">
        <color rgb="FF000000"/>
      </left>
      <top style="hair">
        <color rgb="FF000000"/>
      </top>
    </border>
    <border>
      <right style="thin">
        <color rgb="FF000000"/>
      </right>
      <top style="hair">
        <color rgb="FF000000"/>
      </top>
    </border>
    <border>
      <left style="hair">
        <color rgb="FF000000"/>
      </left>
      <bottom style="thin">
        <color rgb="FF000000"/>
      </bottom>
    </border>
    <border>
      <left style="thin">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right style="thin">
        <color rgb="FF000000"/>
      </right>
      <top style="hair">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hair">
        <color rgb="FF000000"/>
      </right>
      <bottom style="thin">
        <color rgb="FF000000"/>
      </bottom>
    </border>
    <border>
      <left style="hair">
        <color rgb="FF000000"/>
      </left>
      <right style="thin">
        <color rgb="FF000000"/>
      </right>
      <top style="hair">
        <color rgb="FF000000"/>
      </top>
      <bottom style="hair">
        <color rgb="FF000000"/>
      </bottom>
    </border>
    <border>
      <left style="hair">
        <color rgb="FF000000"/>
      </left>
      <right style="thin">
        <color rgb="FF000000"/>
      </right>
      <top style="hair">
        <color rgb="FF000000"/>
      </top>
    </border>
    <border>
      <left style="hair">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hair">
        <color rgb="FF000000"/>
      </left>
      <right style="thin">
        <color rgb="FF000000"/>
      </right>
      <top style="thin">
        <color rgb="FF000000"/>
      </top>
      <bottom style="hair">
        <color rgb="FF000000"/>
      </bottom>
    </border>
    <border>
      <left style="hair">
        <color rgb="FF000000"/>
      </left>
      <right style="hair">
        <color rgb="FF000000"/>
      </right>
      <top style="hair">
        <color rgb="FF000000"/>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left style="thin">
        <color rgb="FF000000"/>
      </left>
      <top style="thin">
        <color rgb="FF000000"/>
      </top>
      <bottom/>
    </border>
    <border>
      <right style="hair">
        <color rgb="FF000000"/>
      </right>
      <top style="thin">
        <color rgb="FF000000"/>
      </top>
      <bottom/>
    </border>
    <border>
      <left/>
      <top/>
      <bottom/>
    </border>
    <border>
      <right style="hair">
        <color rgb="FF000000"/>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hair">
        <color rgb="FF000000"/>
      </bottom>
    </border>
    <border>
      <left style="thin">
        <color rgb="FF000000"/>
      </left>
      <right style="hair">
        <color rgb="FF000000"/>
      </right>
      <bottom style="thin">
        <color rgb="FF000000"/>
      </bottom>
    </border>
    <border>
      <left style="thin">
        <color rgb="FF000000"/>
      </left>
      <right style="hair">
        <color rgb="FF000000"/>
      </right>
      <top style="hair">
        <color rgb="FF000000"/>
      </top>
      <bottom style="thin">
        <color rgb="FF000000"/>
      </bottom>
    </border>
    <border>
      <left style="thin">
        <color rgb="FF000000"/>
      </left>
      <right style="hair">
        <color rgb="FF000000"/>
      </right>
      <bottom style="hair">
        <color rgb="FF000000"/>
      </bottom>
    </border>
    <border>
      <left style="hair">
        <color rgb="FF000000"/>
      </left>
      <right style="hair">
        <color rgb="FF000000"/>
      </right>
      <bottom style="hair">
        <color rgb="FF000000"/>
      </bottom>
    </border>
    <border>
      <left style="thin">
        <color rgb="FF000000"/>
      </left>
      <right style="thin">
        <color rgb="FF000000"/>
      </right>
      <top style="hair">
        <color rgb="FF000000"/>
      </top>
      <bottom style="thin">
        <color rgb="FF000000"/>
      </bottom>
    </border>
    <border>
      <left style="thin">
        <color rgb="FF000000"/>
      </left>
      <right style="hair">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thin">
        <color rgb="FF000000"/>
      </left>
      <right style="hair">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right style="thin">
        <color rgb="FF000000"/>
      </right>
      <bottom style="hair">
        <color rgb="FF000000"/>
      </bottom>
    </border>
    <border>
      <left style="hair">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hair">
        <color rgb="FF000000"/>
      </right>
      <top style="thin">
        <color rgb="FF000000"/>
      </top>
      <bottom/>
    </border>
    <border>
      <left style="thin">
        <color rgb="FF000000"/>
      </left>
      <right style="thin">
        <color rgb="FF000000"/>
      </right>
      <top style="hair">
        <color rgb="FF000000"/>
      </top>
      <bottom style="hair">
        <color rgb="FF000000"/>
      </bottom>
    </border>
    <border>
      <left/>
      <right style="hair">
        <color rgb="FF000000"/>
      </right>
      <top/>
      <bottom/>
    </border>
  </borders>
  <cellStyleXfs count="1">
    <xf numFmtId="0" fontId="0" fillId="0" borderId="0"/>
  </cellStyleXfs>
  <cellXfs count="218">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horizontal="center" vertical="center"/>
    </xf>
    <xf numFmtId="164" fontId="1" fillId="0" borderId="0" applyAlignment="1" pivotButton="0" quotePrefix="0" xfId="0">
      <alignment vertical="center"/>
    </xf>
    <xf numFmtId="164" fontId="1" fillId="0" borderId="0" applyAlignment="1" pivotButton="0" quotePrefix="0" xfId="0">
      <alignment horizontal="right" vertical="center"/>
    </xf>
    <xf numFmtId="0" fontId="1" fillId="0" borderId="1" applyAlignment="1" pivotButton="0" quotePrefix="0" xfId="0">
      <alignment horizontal="center" vertical="center"/>
    </xf>
    <xf numFmtId="0" fontId="3" fillId="0" borderId="2" applyAlignment="1" pivotButton="0" quotePrefix="0" xfId="0">
      <alignment vertical="center"/>
    </xf>
    <xf numFmtId="0" fontId="3" fillId="0" borderId="3" applyAlignment="1" pivotButton="0" quotePrefix="0" xfId="0">
      <alignment vertical="center"/>
    </xf>
    <xf numFmtId="0" fontId="1" fillId="0" borderId="2" applyAlignment="1" pivotButton="0" quotePrefix="0" xfId="0">
      <alignment horizontal="center" vertical="center"/>
    </xf>
    <xf numFmtId="0" fontId="3" fillId="0" borderId="4" applyAlignment="1" pivotButton="0" quotePrefix="0" xfId="0">
      <alignment vertical="center"/>
    </xf>
    <xf numFmtId="0" fontId="4" fillId="0" borderId="0" applyAlignment="1" pivotButton="0" quotePrefix="0" xfId="0">
      <alignment horizontal="center" vertical="center"/>
    </xf>
    <xf numFmtId="0" fontId="1" fillId="0" borderId="5" applyAlignment="1" pivotButton="0" quotePrefix="0" xfId="0">
      <alignment horizontal="center" vertical="center"/>
    </xf>
    <xf numFmtId="0" fontId="3" fillId="0" borderId="6" applyAlignment="1" pivotButton="0" quotePrefix="0" xfId="0">
      <alignment vertical="center"/>
    </xf>
    <xf numFmtId="0" fontId="5" fillId="0" borderId="0" applyAlignment="1" pivotButton="0" quotePrefix="0" xfId="0">
      <alignment horizontal="center" vertical="center"/>
    </xf>
    <xf numFmtId="0" fontId="3" fillId="0" borderId="7" applyAlignment="1" pivotButton="0" quotePrefix="0" xfId="0">
      <alignment vertical="center"/>
    </xf>
    <xf numFmtId="0" fontId="3" fillId="0" borderId="8" applyAlignment="1" pivotButton="0" quotePrefix="0" xfId="0">
      <alignment vertical="center"/>
    </xf>
    <xf numFmtId="0" fontId="3" fillId="0" borderId="9" applyAlignment="1" pivotButton="0" quotePrefix="0" xfId="0">
      <alignment vertical="center"/>
    </xf>
    <xf numFmtId="0" fontId="3" fillId="0" borderId="10" applyAlignment="1" pivotButton="0" quotePrefix="0" xfId="0">
      <alignment vertical="center"/>
    </xf>
    <xf numFmtId="0" fontId="3" fillId="0" borderId="11" applyAlignment="1" pivotButton="0" quotePrefix="0" xfId="0">
      <alignment vertical="center"/>
    </xf>
    <xf numFmtId="0" fontId="1" fillId="0" borderId="12" applyAlignment="1" pivotButton="0" quotePrefix="0" xfId="0">
      <alignment horizontal="center" vertical="center"/>
    </xf>
    <xf numFmtId="0" fontId="3" fillId="0" borderId="13" applyAlignment="1" pivotButton="0" quotePrefix="0" xfId="0">
      <alignment vertical="center"/>
    </xf>
    <xf numFmtId="0" fontId="3" fillId="0" borderId="14" applyAlignment="1" pivotButton="0" quotePrefix="0" xfId="0">
      <alignment vertical="center"/>
    </xf>
    <xf numFmtId="164" fontId="1" fillId="0" borderId="13" applyAlignment="1" pivotButton="0" quotePrefix="0" xfId="0">
      <alignment horizontal="center" vertical="center"/>
    </xf>
    <xf numFmtId="0" fontId="3" fillId="0" borderId="15" applyAlignment="1" pivotButton="0" quotePrefix="0" xfId="0">
      <alignment vertical="center"/>
    </xf>
    <xf numFmtId="0" fontId="1" fillId="0" borderId="13" applyAlignment="1" pivotButton="0" quotePrefix="0" xfId="0">
      <alignment horizontal="center" vertical="center"/>
    </xf>
    <xf numFmtId="0" fontId="1" fillId="0" borderId="15" applyAlignment="1" pivotButton="0" quotePrefix="0" xfId="0">
      <alignment horizontal="center" vertical="center"/>
    </xf>
    <xf numFmtId="0" fontId="1" fillId="0" borderId="14" applyAlignment="1" pivotButton="0" quotePrefix="0" xfId="0">
      <alignment horizontal="center" vertical="center"/>
    </xf>
    <xf numFmtId="0" fontId="1" fillId="0" borderId="16" applyAlignment="1" pivotButton="0" quotePrefix="0" xfId="0">
      <alignment horizontal="center" vertical="center"/>
    </xf>
    <xf numFmtId="0" fontId="6" fillId="0" borderId="0" applyAlignment="1" pivotButton="0" quotePrefix="0" xfId="0">
      <alignment vertical="center"/>
    </xf>
    <xf numFmtId="0" fontId="1" fillId="0" borderId="3" applyAlignment="1" pivotButton="0" quotePrefix="0" xfId="0">
      <alignment horizontal="center" vertical="center"/>
    </xf>
    <xf numFmtId="0" fontId="7" fillId="0" borderId="2" applyAlignment="1" pivotButton="0" quotePrefix="0" xfId="0">
      <alignment horizontal="center" vertical="center"/>
    </xf>
    <xf numFmtId="0" fontId="7" fillId="0" borderId="4" applyAlignment="1" pivotButton="0" quotePrefix="0" xfId="0">
      <alignment horizontal="center" vertical="center"/>
    </xf>
    <xf numFmtId="0" fontId="1" fillId="0" borderId="0" applyAlignment="1" pivotButton="0" quotePrefix="0" xfId="0">
      <alignment horizontal="center" vertical="center"/>
    </xf>
    <xf numFmtId="49" fontId="1" fillId="0" borderId="13" applyAlignment="1" pivotButton="0" quotePrefix="0" xfId="0">
      <alignment horizontal="left" vertical="center"/>
    </xf>
    <xf numFmtId="0" fontId="1" fillId="0" borderId="13" applyAlignment="1" pivotButton="0" quotePrefix="0" xfId="0">
      <alignment horizontal="left" vertical="center"/>
    </xf>
    <xf numFmtId="0" fontId="1" fillId="0" borderId="13" applyAlignment="1" pivotButton="0" quotePrefix="0" xfId="0">
      <alignment horizontal="left" vertical="center"/>
    </xf>
    <xf numFmtId="0" fontId="1" fillId="0" borderId="17" applyAlignment="1" pivotButton="0" quotePrefix="0" xfId="0">
      <alignment horizontal="center" vertical="center"/>
    </xf>
    <xf numFmtId="0" fontId="3" fillId="0" borderId="18" applyAlignment="1" pivotButton="0" quotePrefix="0" xfId="0">
      <alignment vertical="center"/>
    </xf>
    <xf numFmtId="0" fontId="3" fillId="0" borderId="19" applyAlignment="1" pivotButton="0" quotePrefix="0" xfId="0">
      <alignment vertical="center"/>
    </xf>
    <xf numFmtId="0" fontId="3" fillId="0" borderId="20" applyAlignment="1" pivotButton="0" quotePrefix="0" xfId="0">
      <alignment vertical="center"/>
    </xf>
    <xf numFmtId="0" fontId="3" fillId="0" borderId="21" applyAlignment="1" pivotButton="0" quotePrefix="0" xfId="0">
      <alignment vertical="center"/>
    </xf>
    <xf numFmtId="0" fontId="3" fillId="0" borderId="22" applyAlignment="1" pivotButton="0" quotePrefix="0" xfId="0">
      <alignment vertical="center"/>
    </xf>
    <xf numFmtId="165" fontId="1" fillId="0" borderId="5" applyAlignment="1" pivotButton="0" quotePrefix="0" xfId="0">
      <alignment horizontal="center" vertical="center"/>
    </xf>
    <xf numFmtId="0" fontId="1" fillId="0" borderId="23" applyAlignment="1" pivotButton="0" quotePrefix="0" xfId="0">
      <alignment horizontal="center" vertical="center" wrapText="1"/>
    </xf>
    <xf numFmtId="0" fontId="1" fillId="0" borderId="0" applyAlignment="1" pivotButton="0" quotePrefix="0" xfId="0">
      <alignment horizontal="center" vertical="center" wrapText="1"/>
    </xf>
    <xf numFmtId="165" fontId="1" fillId="0" borderId="24" applyAlignment="1" pivotButton="0" quotePrefix="0" xfId="0">
      <alignment horizontal="center" vertical="center"/>
    </xf>
    <xf numFmtId="0" fontId="3" fillId="0" borderId="25" applyAlignment="1" pivotButton="0" quotePrefix="0" xfId="0">
      <alignment vertical="center"/>
    </xf>
    <xf numFmtId="0" fontId="3" fillId="0" borderId="26" applyAlignment="1" pivotButton="0" quotePrefix="0" xfId="0">
      <alignment vertical="center"/>
    </xf>
    <xf numFmtId="165" fontId="1" fillId="0" borderId="27" applyAlignment="1" pivotButton="0" quotePrefix="0" xfId="0">
      <alignment horizontal="center" vertical="center"/>
    </xf>
    <xf numFmtId="0" fontId="1" fillId="0" borderId="27" applyAlignment="1" pivotButton="0" quotePrefix="0" xfId="0">
      <alignment horizontal="center" vertical="center" wrapText="1"/>
    </xf>
    <xf numFmtId="0" fontId="3" fillId="0" borderId="28" applyAlignment="1" pivotButton="0" quotePrefix="0" xfId="0">
      <alignment vertical="center"/>
    </xf>
    <xf numFmtId="0" fontId="3" fillId="0" borderId="29" applyAlignment="1" pivotButton="0" quotePrefix="0" xfId="0">
      <alignment vertical="center"/>
    </xf>
    <xf numFmtId="0" fontId="1" fillId="0" borderId="27" applyAlignment="1" pivotButton="0" quotePrefix="0" xfId="0">
      <alignment horizontal="center" vertical="center"/>
    </xf>
    <xf numFmtId="0" fontId="1" fillId="0" borderId="25" applyAlignment="1" pivotButton="0" quotePrefix="0" xfId="0">
      <alignment horizontal="center" vertical="center"/>
    </xf>
    <xf numFmtId="0" fontId="1" fillId="0" borderId="7" applyAlignment="1" pivotButton="0" quotePrefix="0" xfId="0">
      <alignment vertical="center"/>
    </xf>
    <xf numFmtId="165" fontId="1" fillId="0" borderId="25" applyAlignment="1" pivotButton="0" quotePrefix="0" xfId="0">
      <alignment horizontal="center" vertical="center"/>
    </xf>
    <xf numFmtId="0" fontId="1" fillId="0" borderId="5" applyAlignment="1" pivotButton="0" quotePrefix="0" xfId="0">
      <alignment vertical="center"/>
    </xf>
    <xf numFmtId="165" fontId="1" fillId="0" borderId="0" applyAlignment="1" pivotButton="0" quotePrefix="0" xfId="0">
      <alignment horizontal="center" vertical="center"/>
    </xf>
    <xf numFmtId="165" fontId="1" fillId="0" borderId="23" applyAlignment="1" pivotButton="0" quotePrefix="0" xfId="0">
      <alignment horizontal="center" vertical="center"/>
    </xf>
    <xf numFmtId="0" fontId="1" fillId="0" borderId="0" applyAlignment="1" pivotButton="0" quotePrefix="0" xfId="0">
      <alignment horizontal="left" vertical="center"/>
    </xf>
    <xf numFmtId="0" fontId="1" fillId="0" borderId="27" applyAlignment="1" pivotButton="0" quotePrefix="0" xfId="0">
      <alignment horizontal="left" vertical="center"/>
    </xf>
    <xf numFmtId="0" fontId="1" fillId="0" borderId="23" applyAlignment="1" pivotButton="0" quotePrefix="0" xfId="0">
      <alignment horizontal="left" vertical="center"/>
    </xf>
    <xf numFmtId="0" fontId="1" fillId="0" borderId="24" applyAlignment="1" pivotButton="0" quotePrefix="0" xfId="0">
      <alignment horizontal="left" vertical="top" wrapText="1"/>
    </xf>
    <xf numFmtId="0" fontId="3" fillId="0" borderId="5" applyAlignment="1" pivotButton="0" quotePrefix="0" xfId="0">
      <alignment vertical="center"/>
    </xf>
    <xf numFmtId="0" fontId="1" fillId="0" borderId="0" applyAlignment="1" pivotButton="0" quotePrefix="0" xfId="0">
      <alignment vertical="top"/>
    </xf>
    <xf numFmtId="0" fontId="1" fillId="0" borderId="13" applyAlignment="1" pivotButton="0" quotePrefix="0" xfId="0">
      <alignment vertical="top"/>
    </xf>
    <xf numFmtId="0" fontId="1" fillId="0" borderId="18" applyAlignment="1" pivotButton="0" quotePrefix="0" xfId="0">
      <alignment horizontal="center" vertical="center"/>
    </xf>
    <xf numFmtId="0" fontId="1" fillId="0" borderId="21" applyAlignment="1" pivotButton="0" quotePrefix="0" xfId="0">
      <alignment horizontal="left" vertical="center"/>
    </xf>
    <xf numFmtId="0" fontId="1" fillId="0" borderId="30" applyAlignment="1" pivotButton="0" quotePrefix="0" xfId="0">
      <alignment horizontal="center" vertical="center"/>
    </xf>
    <xf numFmtId="0" fontId="3" fillId="0" borderId="31" applyAlignment="1" pivotButton="0" quotePrefix="0" xfId="0">
      <alignment vertical="center"/>
    </xf>
    <xf numFmtId="0" fontId="3" fillId="0" borderId="32" applyAlignment="1" pivotButton="0" quotePrefix="0" xfId="0">
      <alignment vertical="center"/>
    </xf>
    <xf numFmtId="0" fontId="1" fillId="0" borderId="33" applyAlignment="1" pivotButton="0" quotePrefix="0" xfId="0">
      <alignment horizontal="left" vertical="center"/>
    </xf>
    <xf numFmtId="0" fontId="3" fillId="0" borderId="34" applyAlignment="1" pivotButton="0" quotePrefix="0" xfId="0">
      <alignment vertical="center"/>
    </xf>
    <xf numFmtId="0" fontId="1" fillId="0" borderId="31" applyAlignment="1" pivotButton="0" quotePrefix="0" xfId="0">
      <alignment horizontal="left" vertical="center"/>
    </xf>
    <xf numFmtId="0" fontId="1" fillId="0" borderId="34" applyAlignment="1" pivotButton="0" quotePrefix="0" xfId="0">
      <alignment horizontal="left" vertical="center"/>
    </xf>
    <xf numFmtId="0" fontId="1" fillId="0" borderId="24" applyAlignment="1" pivotButton="0" quotePrefix="0" xfId="0">
      <alignment horizontal="center" vertical="center"/>
    </xf>
    <xf numFmtId="0" fontId="1" fillId="0" borderId="9" applyAlignment="1" pivotButton="0" quotePrefix="0" xfId="0">
      <alignment horizontal="center" vertical="center"/>
    </xf>
    <xf numFmtId="0" fontId="8" fillId="0" borderId="0" applyAlignment="1" pivotButton="0" quotePrefix="0" xfId="0">
      <alignment vertical="center"/>
    </xf>
    <xf numFmtId="0" fontId="1" fillId="0" borderId="35" applyAlignment="1" pivotButton="0" quotePrefix="0" xfId="0">
      <alignment horizontal="center" vertical="center"/>
    </xf>
    <xf numFmtId="0" fontId="1" fillId="0" borderId="4" applyAlignment="1" pivotButton="0" quotePrefix="0" xfId="0">
      <alignment horizontal="center" vertical="center"/>
    </xf>
    <xf numFmtId="0" fontId="1" fillId="0" borderId="33" applyAlignment="1" pivotButton="0" quotePrefix="0" xfId="0">
      <alignment horizontal="center" vertical="center"/>
    </xf>
    <xf numFmtId="0" fontId="1" fillId="0" borderId="36" applyAlignment="1" pivotButton="0" quotePrefix="0" xfId="0">
      <alignment horizontal="center" vertical="center"/>
    </xf>
    <xf numFmtId="0" fontId="1" fillId="0" borderId="7" applyAlignment="1" pivotButton="0" quotePrefix="0" xfId="0">
      <alignment horizontal="center" vertical="center"/>
    </xf>
    <xf numFmtId="0" fontId="1" fillId="0" borderId="29" applyAlignment="1" pivotButton="0" quotePrefix="0" xfId="0">
      <alignment horizontal="center" vertical="center"/>
    </xf>
    <xf numFmtId="0" fontId="1" fillId="0" borderId="37" applyAlignment="1" pivotButton="0" quotePrefix="0" xfId="0">
      <alignment horizontal="center" vertical="center"/>
    </xf>
    <xf numFmtId="0" fontId="1" fillId="0" borderId="11" applyAlignment="1" pivotButton="0" quotePrefix="0" xfId="0">
      <alignment horizontal="center" vertical="center"/>
    </xf>
    <xf numFmtId="0" fontId="1" fillId="0" borderId="26" applyAlignment="1" pivotButton="0" quotePrefix="0" xfId="0">
      <alignment horizontal="center" vertical="center"/>
    </xf>
    <xf numFmtId="0" fontId="1" fillId="0" borderId="38" applyAlignment="1" pivotButton="0" quotePrefix="0" xfId="0">
      <alignment horizontal="center" vertical="center"/>
    </xf>
    <xf numFmtId="0" fontId="1" fillId="0" borderId="22" applyAlignment="1" pivotButton="0" quotePrefix="0" xfId="0">
      <alignment horizontal="center" vertical="center"/>
    </xf>
    <xf numFmtId="0" fontId="1" fillId="0" borderId="39" applyAlignment="1" pivotButton="0" quotePrefix="0" xfId="0">
      <alignment horizontal="center" vertical="center"/>
    </xf>
    <xf numFmtId="0" fontId="1" fillId="0" borderId="40" applyAlignment="1" pivotButton="0" quotePrefix="0" xfId="0">
      <alignment horizontal="center" vertical="center"/>
    </xf>
    <xf numFmtId="0" fontId="3" fillId="0" borderId="41" applyAlignment="1" pivotButton="0" quotePrefix="0" xfId="0">
      <alignment vertical="center"/>
    </xf>
    <xf numFmtId="0" fontId="3" fillId="0" borderId="42" applyAlignment="1" pivotButton="0" quotePrefix="0" xfId="0">
      <alignment vertical="center"/>
    </xf>
    <xf numFmtId="0" fontId="1" fillId="0" borderId="10" applyAlignment="1" pivotButton="0" quotePrefix="0" xfId="0">
      <alignment horizontal="center" vertical="center"/>
    </xf>
    <xf numFmtId="0" fontId="1" fillId="0" borderId="43" applyAlignment="1" pivotButton="0" quotePrefix="0" xfId="0">
      <alignment horizontal="center" vertical="center"/>
    </xf>
    <xf numFmtId="0" fontId="1" fillId="0" borderId="44" applyAlignment="1" pivotButton="0" quotePrefix="0" xfId="0">
      <alignment horizontal="center" vertical="center"/>
    </xf>
    <xf numFmtId="0" fontId="1" fillId="0" borderId="6" applyAlignment="1" pivotButton="0" quotePrefix="0" xfId="0">
      <alignment horizontal="center" vertical="center"/>
    </xf>
    <xf numFmtId="0" fontId="1" fillId="0" borderId="45" applyAlignment="1" pivotButton="0" quotePrefix="0" xfId="0">
      <alignment horizontal="center" vertical="center"/>
    </xf>
    <xf numFmtId="0" fontId="1" fillId="0" borderId="13" applyAlignment="1" pivotButton="0" quotePrefix="0" xfId="0">
      <alignment vertical="center"/>
    </xf>
    <xf numFmtId="0" fontId="1" fillId="0" borderId="19" applyAlignment="1" pivotButton="0" quotePrefix="0" xfId="0">
      <alignment horizontal="center" vertical="center"/>
    </xf>
    <xf numFmtId="0" fontId="1" fillId="0" borderId="19" applyAlignment="1" pivotButton="0" quotePrefix="0" xfId="0">
      <alignment horizontal="left" vertical="center"/>
    </xf>
    <xf numFmtId="0" fontId="1" fillId="0" borderId="25" applyAlignment="1" pivotButton="0" quotePrefix="0" xfId="0">
      <alignment vertical="center"/>
    </xf>
    <xf numFmtId="0" fontId="1" fillId="0" borderId="25" applyAlignment="1" pivotButton="0" quotePrefix="0" xfId="0">
      <alignment horizontal="left" vertical="center"/>
    </xf>
    <xf numFmtId="0" fontId="1" fillId="0" borderId="46" applyAlignment="1" pivotButton="0" quotePrefix="0" xfId="0">
      <alignment horizontal="center" vertical="center"/>
    </xf>
    <xf numFmtId="0" fontId="3" fillId="0" borderId="47" applyAlignment="1" pivotButton="0" quotePrefix="0" xfId="0">
      <alignment vertical="center"/>
    </xf>
    <xf numFmtId="0" fontId="1" fillId="2" borderId="48" applyAlignment="1" pivotButton="0" quotePrefix="0" xfId="0">
      <alignment horizontal="center" vertical="center"/>
    </xf>
    <xf numFmtId="0" fontId="3" fillId="0" borderId="49" applyAlignment="1" pivotButton="0" quotePrefix="0" xfId="0">
      <alignment vertical="center"/>
    </xf>
    <xf numFmtId="0" fontId="1" fillId="2" borderId="16" applyAlignment="1" pivotButton="0" quotePrefix="0" xfId="0">
      <alignment horizontal="center" vertical="center"/>
    </xf>
    <xf numFmtId="0" fontId="1" fillId="2" borderId="46" applyAlignment="1" pivotButton="0" quotePrefix="0" xfId="0">
      <alignment horizontal="center" vertical="center"/>
    </xf>
    <xf numFmtId="165" fontId="1" fillId="0" borderId="40" applyAlignment="1" pivotButton="0" quotePrefix="0" xfId="0">
      <alignment horizontal="center" vertical="center"/>
    </xf>
    <xf numFmtId="0" fontId="1" fillId="2" borderId="50" applyAlignment="1" pivotButton="0" quotePrefix="0" xfId="0">
      <alignment horizontal="center" vertical="center"/>
    </xf>
    <xf numFmtId="0" fontId="3" fillId="0" borderId="51" applyAlignment="1" pivotButton="0" quotePrefix="0" xfId="0">
      <alignment vertical="center"/>
    </xf>
    <xf numFmtId="0" fontId="1" fillId="2" borderId="40" applyAlignment="1" pivotButton="0" quotePrefix="0" xfId="0">
      <alignment horizontal="center" vertical="center"/>
    </xf>
    <xf numFmtId="0" fontId="1" fillId="0" borderId="52" applyAlignment="1" pivotButton="0" quotePrefix="0" xfId="0">
      <alignment horizontal="center" vertical="center"/>
    </xf>
    <xf numFmtId="0" fontId="1" fillId="0" borderId="12" applyAlignment="1" pivotButton="0" quotePrefix="0" xfId="0">
      <alignment horizontal="center" vertical="center" wrapText="1"/>
    </xf>
    <xf numFmtId="0" fontId="3" fillId="0" borderId="53" applyAlignment="1" pivotButton="0" quotePrefix="0" xfId="0">
      <alignment vertical="center"/>
    </xf>
    <xf numFmtId="165" fontId="1" fillId="0" borderId="12" applyAlignment="1" pivotButton="0" quotePrefix="0" xfId="0">
      <alignment horizontal="center" vertical="center"/>
    </xf>
    <xf numFmtId="0" fontId="1" fillId="0" borderId="12" applyAlignment="1" pivotButton="0" quotePrefix="0" xfId="0">
      <alignment horizontal="left" vertical="center"/>
    </xf>
    <xf numFmtId="0" fontId="1" fillId="0" borderId="12" applyAlignment="1" pivotButton="0" quotePrefix="0" xfId="0">
      <alignment horizontal="left" vertical="top"/>
    </xf>
    <xf numFmtId="0" fontId="3" fillId="0" borderId="54" applyAlignment="1" pivotButton="0" quotePrefix="0" xfId="0">
      <alignment vertical="center"/>
    </xf>
    <xf numFmtId="0" fontId="1" fillId="0" borderId="24" applyAlignment="1" pivotButton="0" quotePrefix="0" xfId="0">
      <alignment horizontal="left" vertical="top"/>
    </xf>
    <xf numFmtId="0" fontId="1" fillId="0" borderId="1" applyAlignment="1" pivotButton="0" quotePrefix="0" xfId="0">
      <alignment horizontal="left" vertical="center"/>
    </xf>
    <xf numFmtId="0" fontId="1" fillId="0" borderId="5" applyAlignment="1" pivotButton="0" quotePrefix="0" xfId="0">
      <alignment horizontal="left" vertical="top"/>
    </xf>
    <xf numFmtId="0" fontId="1" fillId="0" borderId="0" applyAlignment="1" pivotButton="0" quotePrefix="0" xfId="0">
      <alignment horizontal="center" vertical="top"/>
    </xf>
    <xf numFmtId="0" fontId="0" fillId="0" borderId="0" pivotButton="0" quotePrefix="0" xfId="0"/>
    <xf numFmtId="0" fontId="1" fillId="0" borderId="61" applyAlignment="1" pivotButton="0" quotePrefix="0" xfId="0">
      <alignment horizontal="center" vertical="center"/>
    </xf>
    <xf numFmtId="0" fontId="0" fillId="0" borderId="2" pivotButton="0" quotePrefix="0" xfId="0"/>
    <xf numFmtId="0" fontId="0" fillId="0" borderId="3" pivotButton="0" quotePrefix="0" xfId="0"/>
    <xf numFmtId="0" fontId="0" fillId="0" borderId="4" pivotButton="0" quotePrefix="0" xfId="0"/>
    <xf numFmtId="0" fontId="1" fillId="0" borderId="56" applyAlignment="1" pivotButton="0" quotePrefix="0" xfId="0">
      <alignment horizontal="center" vertical="center"/>
    </xf>
    <xf numFmtId="0" fontId="0" fillId="0" borderId="6" pivotButton="0" quotePrefix="0" xfId="0"/>
    <xf numFmtId="0" fontId="5" fillId="0" borderId="11" applyAlignment="1" pivotButton="0" quotePrefix="0" xfId="0">
      <alignment horizontal="center" vertical="center"/>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1" fillId="0" borderId="63" applyAlignment="1" pivotButton="0" quotePrefix="0" xfId="0">
      <alignment horizontal="center" vertical="center"/>
    </xf>
    <xf numFmtId="0" fontId="0" fillId="0" borderId="13" pivotButton="0" quotePrefix="0" xfId="0"/>
    <xf numFmtId="0" fontId="0" fillId="0" borderId="14" pivotButton="0" quotePrefix="0" xfId="0"/>
    <xf numFmtId="164" fontId="1" fillId="0" borderId="64" applyAlignment="1" pivotButton="0" quotePrefix="0" xfId="0">
      <alignment horizontal="center" vertical="center"/>
    </xf>
    <xf numFmtId="0" fontId="0" fillId="0" borderId="15" pivotButton="0" quotePrefix="0" xfId="0"/>
    <xf numFmtId="0" fontId="1" fillId="0" borderId="65" applyAlignment="1" pivotButton="0" quotePrefix="0" xfId="0">
      <alignment horizontal="center" vertical="center"/>
    </xf>
    <xf numFmtId="0" fontId="1" fillId="0" borderId="66" applyAlignment="1" pivotButton="0" quotePrefix="0" xfId="0">
      <alignment horizontal="center" vertical="center"/>
    </xf>
    <xf numFmtId="0" fontId="1" fillId="0" borderId="64" applyAlignment="1" pivotButton="0" quotePrefix="0" xfId="0">
      <alignment horizontal="center" vertical="center"/>
    </xf>
    <xf numFmtId="0" fontId="1" fillId="0" borderId="67" applyAlignment="1" pivotButton="0" quotePrefix="0" xfId="0">
      <alignment horizontal="center" vertical="center"/>
    </xf>
    <xf numFmtId="49" fontId="1" fillId="0" borderId="64" applyAlignment="1" pivotButton="0" quotePrefix="0" xfId="0">
      <alignment horizontal="left" vertical="center"/>
    </xf>
    <xf numFmtId="0" fontId="1" fillId="0" borderId="64" applyAlignment="1" pivotButton="0" quotePrefix="0" xfId="0">
      <alignment horizontal="left" vertical="center"/>
    </xf>
    <xf numFmtId="0" fontId="1" fillId="0" borderId="55" applyAlignment="1" pivotButton="0" quotePrefix="0" xfId="0">
      <alignment horizontal="center" vertical="center"/>
    </xf>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165" fontId="1" fillId="0" borderId="56" applyAlignment="1" pivotButton="0" quotePrefix="0" xfId="0">
      <alignment horizontal="center" vertical="center"/>
    </xf>
    <xf numFmtId="0" fontId="1" fillId="0" borderId="59" applyAlignment="1" pivotButton="0" quotePrefix="0" xfId="0">
      <alignment horizontal="center" vertical="center" wrapText="1"/>
    </xf>
    <xf numFmtId="0" fontId="1" fillId="0" borderId="22" applyAlignment="1" pivotButton="0" quotePrefix="0" xfId="0">
      <alignment horizontal="center" vertical="center" wrapText="1"/>
    </xf>
    <xf numFmtId="0" fontId="1" fillId="0" borderId="68" applyAlignment="1" pivotButton="0" quotePrefix="0" xfId="0">
      <alignment horizontal="center" vertical="center" wrapText="1"/>
    </xf>
    <xf numFmtId="165" fontId="1" fillId="0" borderId="57" applyAlignment="1" pivotButton="0" quotePrefix="0" xfId="0">
      <alignment horizontal="center" vertical="center"/>
    </xf>
    <xf numFmtId="0" fontId="0" fillId="0" borderId="25" pivotButton="0" quotePrefix="0" xfId="0"/>
    <xf numFmtId="0" fontId="0" fillId="0" borderId="26" pivotButton="0" quotePrefix="0" xfId="0"/>
    <xf numFmtId="165" fontId="1" fillId="0" borderId="36" applyAlignment="1" pivotButton="0" quotePrefix="0" xfId="0">
      <alignment horizontal="center" vertical="center"/>
    </xf>
    <xf numFmtId="0" fontId="1" fillId="0" borderId="36" applyAlignment="1" pivotButton="0" quotePrefix="0" xfId="0">
      <alignment horizontal="center" vertical="center" wrapText="1"/>
    </xf>
    <xf numFmtId="0" fontId="1" fillId="0" borderId="38" applyAlignment="1" pivotButton="0" quotePrefix="0" xfId="0">
      <alignment horizontal="center" vertical="center" wrapText="1"/>
    </xf>
    <xf numFmtId="0" fontId="0" fillId="0" borderId="28" pivotButton="0" quotePrefix="0" xfId="0"/>
    <xf numFmtId="0" fontId="1" fillId="0" borderId="11" applyAlignment="1" pivotButton="0" quotePrefix="0" xfId="0">
      <alignment horizontal="center" vertical="center" wrapText="1"/>
    </xf>
    <xf numFmtId="165" fontId="1" fillId="0" borderId="60" applyAlignment="1" pivotButton="0" quotePrefix="0" xfId="0">
      <alignment horizontal="center" vertical="center"/>
    </xf>
    <xf numFmtId="165" fontId="1" fillId="0" borderId="45" applyAlignment="1" pivotButton="0" quotePrefix="0" xfId="0">
      <alignment horizontal="center" vertical="center"/>
    </xf>
    <xf numFmtId="0" fontId="1" fillId="0" borderId="40" applyAlignment="1" pivotButton="0" quotePrefix="0" xfId="0">
      <alignment horizontal="center" vertical="center" wrapText="1"/>
    </xf>
    <xf numFmtId="0" fontId="1" fillId="0" borderId="69" applyAlignment="1" pivotButton="0" quotePrefix="0" xfId="0">
      <alignment horizontal="center" vertical="center" wrapText="1"/>
    </xf>
    <xf numFmtId="0" fontId="0" fillId="0" borderId="29" pivotButton="0" quotePrefix="0" xfId="0"/>
    <xf numFmtId="165" fontId="1" fillId="0" borderId="58" applyAlignment="1" pivotButton="0" quotePrefix="0" xfId="0">
      <alignment horizontal="center" vertical="center"/>
    </xf>
    <xf numFmtId="0" fontId="1" fillId="0" borderId="34" applyAlignment="1" pivotButton="0" quotePrefix="0" xfId="0">
      <alignment horizontal="center" vertical="center"/>
    </xf>
    <xf numFmtId="165" fontId="1" fillId="0" borderId="32" applyAlignment="1" pivotButton="0" quotePrefix="0" xfId="0">
      <alignment horizontal="center" vertical="center"/>
    </xf>
    <xf numFmtId="165" fontId="1" fillId="0" borderId="22" applyAlignment="1" pivotButton="0" quotePrefix="0" xfId="0">
      <alignment horizontal="center" vertical="center"/>
    </xf>
    <xf numFmtId="165" fontId="1" fillId="0" borderId="59" applyAlignment="1" pivotButton="0" quotePrefix="0" xfId="0">
      <alignment horizontal="center" vertical="center"/>
    </xf>
    <xf numFmtId="0" fontId="1" fillId="0" borderId="20" applyAlignment="1" pivotButton="0" quotePrefix="0" xfId="0">
      <alignment horizontal="center" vertical="center"/>
    </xf>
    <xf numFmtId="165" fontId="1" fillId="0" borderId="62" applyAlignment="1" pivotButton="0" quotePrefix="0" xfId="0">
      <alignment horizontal="center" vertical="center"/>
    </xf>
    <xf numFmtId="165" fontId="1" fillId="0" borderId="37" applyAlignment="1" pivotButton="0" quotePrefix="0" xfId="0">
      <alignment horizontal="center" vertical="center"/>
    </xf>
    <xf numFmtId="0" fontId="1" fillId="0" borderId="37" applyAlignment="1" pivotButton="0" quotePrefix="0" xfId="0">
      <alignment horizontal="center" vertical="center" wrapText="1"/>
    </xf>
    <xf numFmtId="0" fontId="1" fillId="0" borderId="11" applyAlignment="1" pivotButton="0" quotePrefix="0" xfId="0">
      <alignment horizontal="left" vertical="center"/>
    </xf>
    <xf numFmtId="0" fontId="1" fillId="0" borderId="38" applyAlignment="1" pivotButton="0" quotePrefix="0" xfId="0">
      <alignment horizontal="left" vertical="center"/>
    </xf>
    <xf numFmtId="165" fontId="1" fillId="0" borderId="42" applyAlignment="1" pivotButton="0" quotePrefix="0" xfId="0">
      <alignment horizontal="center" vertical="center"/>
    </xf>
    <xf numFmtId="0" fontId="1" fillId="0" borderId="68" applyAlignment="1" pivotButton="0" quotePrefix="0" xfId="0">
      <alignment horizontal="left" vertical="center"/>
    </xf>
    <xf numFmtId="0" fontId="1" fillId="0" borderId="20" applyAlignment="1" pivotButton="0" quotePrefix="0" xfId="0">
      <alignment horizontal="left" vertical="center"/>
    </xf>
    <xf numFmtId="0" fontId="1" fillId="0" borderId="60" applyAlignment="1" pivotButton="0" quotePrefix="0" xfId="0">
      <alignment horizontal="left" vertical="top" wrapText="1"/>
    </xf>
    <xf numFmtId="0" fontId="0" fillId="0" borderId="5" pivotButton="0" quotePrefix="0" xfId="0"/>
    <xf numFmtId="0" fontId="1" fillId="0" borderId="58" applyAlignment="1" pivotButton="0" quotePrefix="0" xfId="0">
      <alignment horizontal="center" vertical="center"/>
    </xf>
    <xf numFmtId="0" fontId="1" fillId="0" borderId="62" applyAlignment="1" pivotButton="0" quotePrefix="0" xfId="0">
      <alignment horizontal="center" vertical="center"/>
    </xf>
    <xf numFmtId="0" fontId="0" fillId="0" borderId="31" pivotButton="0" quotePrefix="0" xfId="0"/>
    <xf numFmtId="0" fontId="0" fillId="0" borderId="32" pivotButton="0" quotePrefix="0" xfId="0"/>
    <xf numFmtId="0" fontId="0" fillId="0" borderId="34" pivotButton="0" quotePrefix="0" xfId="0"/>
    <xf numFmtId="0" fontId="1" fillId="0" borderId="57" applyAlignment="1" pivotButton="0" quotePrefix="0" xfId="0">
      <alignment horizontal="center" vertical="center"/>
    </xf>
    <xf numFmtId="0" fontId="1" fillId="0" borderId="43" applyAlignment="1" pivotButton="0" quotePrefix="0" xfId="0">
      <alignment horizontal="left" vertical="center"/>
    </xf>
    <xf numFmtId="0" fontId="0" fillId="0" borderId="41" pivotButton="0" quotePrefix="0" xfId="0"/>
    <xf numFmtId="0" fontId="0" fillId="0" borderId="42" pivotButton="0" quotePrefix="0" xfId="0"/>
    <xf numFmtId="0" fontId="0" fillId="0" borderId="47" pivotButton="0" quotePrefix="0" xfId="0"/>
    <xf numFmtId="0" fontId="1" fillId="2" borderId="71" applyAlignment="1" pivotButton="0" quotePrefix="0" xfId="0">
      <alignment horizontal="center" vertical="center"/>
    </xf>
    <xf numFmtId="0" fontId="1" fillId="2" borderId="35" applyAlignment="1" pivotButton="0" quotePrefix="0" xfId="0">
      <alignment horizontal="center" vertical="center"/>
    </xf>
    <xf numFmtId="0" fontId="1" fillId="2" borderId="57" applyAlignment="1" pivotButton="0" quotePrefix="0" xfId="0">
      <alignment horizontal="center" vertical="center"/>
    </xf>
    <xf numFmtId="0" fontId="1" fillId="2" borderId="73" applyAlignment="1" pivotButton="0" quotePrefix="0" xfId="0">
      <alignment horizontal="center" vertical="center"/>
    </xf>
    <xf numFmtId="165" fontId="1" fillId="0" borderId="7" applyAlignment="1" pivotButton="0" quotePrefix="0" xfId="0">
      <alignment horizontal="center" vertical="center"/>
    </xf>
    <xf numFmtId="0" fontId="1" fillId="2" borderId="45" applyAlignment="1" pivotButton="0" quotePrefix="0" xfId="0">
      <alignment horizontal="center" vertical="center"/>
    </xf>
    <xf numFmtId="0" fontId="1" fillId="0" borderId="70" applyAlignment="1" pivotButton="0" quotePrefix="0" xfId="0">
      <alignment horizontal="center" vertical="center"/>
    </xf>
    <xf numFmtId="0" fontId="1" fillId="0" borderId="70" applyAlignment="1" pivotButton="0" quotePrefix="0" xfId="0">
      <alignment horizontal="center" vertical="center" wrapText="1"/>
    </xf>
    <xf numFmtId="0" fontId="0" fillId="0" borderId="53" pivotButton="0" quotePrefix="0" xfId="0"/>
    <xf numFmtId="165" fontId="1" fillId="0" borderId="55" applyAlignment="1" pivotButton="0" quotePrefix="0" xfId="0">
      <alignment horizontal="center" vertical="center"/>
    </xf>
    <xf numFmtId="0" fontId="1" fillId="0" borderId="52" applyAlignment="1" pivotButton="0" quotePrefix="0" xfId="0">
      <alignment horizontal="left" vertical="center"/>
    </xf>
    <xf numFmtId="0" fontId="1" fillId="0" borderId="70" applyAlignment="1" pivotButton="0" quotePrefix="0" xfId="0">
      <alignment horizontal="left" vertical="top"/>
    </xf>
    <xf numFmtId="0" fontId="0" fillId="0" borderId="54" pivotButton="0" quotePrefix="0" xfId="0"/>
    <xf numFmtId="0" fontId="1" fillId="0" borderId="60" applyAlignment="1" pivotButton="0" quotePrefix="0" xfId="0">
      <alignment horizontal="left" vertical="top"/>
    </xf>
    <xf numFmtId="0" fontId="1" fillId="0" borderId="53" applyAlignment="1" pivotButton="0" quotePrefix="0" xfId="0">
      <alignment horizontal="center" vertical="center"/>
    </xf>
    <xf numFmtId="165" fontId="1" fillId="0" borderId="70" applyAlignment="1" pivotButton="0" quotePrefix="0" xfId="0">
      <alignment horizontal="center" vertical="center"/>
    </xf>
    <xf numFmtId="0" fontId="1" fillId="0" borderId="55" applyAlignment="1" pivotButton="0" quotePrefix="0" xfId="0">
      <alignment horizontal="left" vertical="center"/>
    </xf>
    <xf numFmtId="0" fontId="1" fillId="0" borderId="53" applyAlignment="1" pivotButton="0" quotePrefix="0" xfId="0">
      <alignment horizontal="left" vertical="top"/>
    </xf>
    <xf numFmtId="0" fontId="1" fillId="0" borderId="60" applyAlignment="1" pivotButton="0" quotePrefix="0" xfId="0">
      <alignment horizontal="center" vertical="center"/>
    </xf>
    <xf numFmtId="0" fontId="1" fillId="0" borderId="72" applyAlignment="1" pivotButton="0" quotePrefix="0" xfId="0">
      <alignment horizontal="center" vertical="center"/>
    </xf>
    <xf numFmtId="165" fontId="1" fillId="0" borderId="5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FEF2CB"/>
    <outlinePr summaryBelow="1" summaryRight="1"/>
    <pageSetUpPr/>
  </sheetPr>
  <dimension ref="A1:X285"/>
  <sheetViews>
    <sheetView workbookViewId="0">
      <selection activeCell="A1" sqref="A1"/>
    </sheetView>
  </sheetViews>
  <sheetFormatPr baseColWidth="8" defaultColWidth="14.43" defaultRowHeight="15" customHeight="1"/>
  <cols>
    <col width="4.71" customWidth="1" style="124" min="1" max="6"/>
    <col width="7.71" customWidth="1" style="124" min="7" max="7"/>
    <col width="4.71" customWidth="1" style="124" min="8" max="15"/>
    <col width="7.14" customWidth="1" style="124" min="16" max="16"/>
    <col width="4.71" customWidth="1" style="124" min="17" max="24"/>
  </cols>
  <sheetData>
    <row r="1" ht="18" customHeight="1" s="12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18" customHeight="1" s="124">
      <c r="A2" s="1" t="n"/>
      <c r="B2" s="2" t="inlineStr">
        <is>
          <t>履　歴　書</t>
        </is>
      </c>
      <c r="F2" s="1" t="n"/>
      <c r="G2" s="1" t="n"/>
      <c r="H2" s="1" t="n"/>
      <c r="I2" s="1" t="n"/>
      <c r="J2" s="1" t="n"/>
      <c r="K2" s="1" t="n"/>
      <c r="L2" s="1" t="n"/>
      <c r="M2" s="1" t="n"/>
      <c r="N2" s="1" t="n"/>
      <c r="O2" s="1" t="n"/>
      <c r="P2" s="1" t="n"/>
      <c r="Q2" s="1" t="n"/>
      <c r="R2" s="1" t="n"/>
      <c r="S2" s="1" t="n"/>
      <c r="T2" s="1" t="n"/>
      <c r="U2" s="1" t="n"/>
      <c r="V2" s="1" t="n"/>
      <c r="W2" s="1" t="n"/>
      <c r="X2" s="1" t="n"/>
    </row>
    <row r="3" ht="18" customHeight="1" s="124">
      <c r="A3" s="1" t="n"/>
      <c r="F3" s="1" t="n"/>
      <c r="G3" s="1" t="n"/>
      <c r="H3" s="1" t="n"/>
      <c r="I3" s="1" t="n"/>
      <c r="J3" s="3" t="n"/>
      <c r="K3" s="3" t="n"/>
      <c r="L3" s="3" t="n"/>
      <c r="M3" s="3" t="n"/>
      <c r="N3" s="4">
        <f>TODAY()</f>
        <v/>
      </c>
      <c r="Q3" s="1" t="inlineStr">
        <is>
          <t>現在</t>
        </is>
      </c>
      <c r="R3" s="1" t="n"/>
      <c r="S3" s="1" t="n"/>
      <c r="T3" s="1" t="n"/>
      <c r="U3" s="1" t="n"/>
      <c r="V3" s="1" t="n"/>
      <c r="W3" s="1" t="n"/>
      <c r="X3" s="1" t="n"/>
    </row>
    <row r="4" ht="18" customHeight="1" s="12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row>
    <row r="5" ht="18" customHeight="1" s="124">
      <c r="A5" s="1" t="n"/>
      <c r="B5" s="125" t="inlineStr">
        <is>
          <t>フリガナ</t>
        </is>
      </c>
      <c r="C5" s="126" t="n"/>
      <c r="D5" s="127" t="n"/>
      <c r="E5" s="79" t="inlineStr">
        <is>
          <t>フィルザ　チャンドラ　サンジャ　やぷとら</t>
        </is>
      </c>
      <c r="F5" s="126" t="n"/>
      <c r="G5" s="126" t="n"/>
      <c r="H5" s="126" t="n"/>
      <c r="I5" s="126" t="n"/>
      <c r="J5" s="126" t="n"/>
      <c r="K5" s="126" t="n"/>
      <c r="L5" s="126" t="n"/>
      <c r="M5" s="126" t="n"/>
      <c r="N5" s="126" t="n"/>
      <c r="O5" s="126" t="n"/>
      <c r="P5" s="126" t="n"/>
      <c r="Q5" s="128" t="n"/>
      <c r="R5" s="1" t="n"/>
      <c r="S5" s="1" t="n"/>
      <c r="T5" s="10" t="inlineStr">
        <is>
          <t>顔写真</t>
        </is>
      </c>
      <c r="W5" s="1" t="n"/>
      <c r="X5" s="1" t="n"/>
    </row>
    <row r="6" ht="18" customHeight="1" s="124">
      <c r="A6" s="1" t="n"/>
      <c r="B6" s="129" t="inlineStr">
        <is>
          <t>名前</t>
        </is>
      </c>
      <c r="D6" s="130" t="n"/>
      <c r="E6" s="131" t="inlineStr">
        <is>
          <t>Firza Chandra Sandjaya Putra</t>
        </is>
      </c>
      <c r="Q6" s="132" t="n"/>
      <c r="R6" s="1" t="n"/>
      <c r="S6" s="1" t="n"/>
      <c r="T6" s="1" t="n"/>
      <c r="U6" s="1" t="n"/>
      <c r="V6" s="1" t="n"/>
      <c r="W6" s="1" t="n"/>
      <c r="X6" s="1" t="n"/>
    </row>
    <row r="7" ht="18" customHeight="1" s="124">
      <c r="A7" s="1" t="n"/>
      <c r="B7" s="133" t="n"/>
      <c r="C7" s="134" t="n"/>
      <c r="D7" s="135" t="n"/>
      <c r="E7" s="134" t="n"/>
      <c r="F7" s="134" t="n"/>
      <c r="G7" s="134" t="n"/>
      <c r="H7" s="134" t="n"/>
      <c r="I7" s="134" t="n"/>
      <c r="J7" s="134" t="n"/>
      <c r="K7" s="134" t="n"/>
      <c r="L7" s="134" t="n"/>
      <c r="M7" s="134" t="n"/>
      <c r="N7" s="134" t="n"/>
      <c r="O7" s="134" t="n"/>
      <c r="P7" s="134" t="n"/>
      <c r="Q7" s="136" t="n"/>
      <c r="R7" s="1" t="n"/>
      <c r="S7" s="1" t="n"/>
      <c r="T7" s="1" t="n"/>
      <c r="U7" s="1" t="n"/>
      <c r="V7" s="1" t="n"/>
      <c r="W7" s="1" t="n"/>
      <c r="X7" s="1" t="n"/>
    </row>
    <row r="8" ht="18" customHeight="1" s="124">
      <c r="A8" s="1" t="n"/>
      <c r="B8" s="137" t="inlineStr">
        <is>
          <t>生年月日</t>
        </is>
      </c>
      <c r="C8" s="138" t="n"/>
      <c r="D8" s="139" t="n"/>
      <c r="E8" s="140" t="n">
        <v>36153</v>
      </c>
      <c r="F8" s="138" t="n"/>
      <c r="G8" s="138" t="n"/>
      <c r="H8" s="138" t="n"/>
      <c r="I8" s="138" t="n"/>
      <c r="J8" s="141" t="n"/>
      <c r="K8" s="142" t="inlineStr">
        <is>
          <t>満</t>
        </is>
      </c>
      <c r="L8" s="143">
        <f>IF(NOT(OR(ISBLANK(E8),ISERROR(VALUE(E8)))),DATEDIF(E8,$N$3,"Y"),"")</f>
        <v/>
      </c>
      <c r="M8" s="144" t="inlineStr">
        <is>
          <t>歳</t>
        </is>
      </c>
      <c r="N8" s="145" t="inlineStr">
        <is>
          <t>性別</t>
        </is>
      </c>
      <c r="O8" s="144" t="inlineStr">
        <is>
          <t>男性</t>
        </is>
      </c>
      <c r="P8" s="138" t="n"/>
      <c r="Q8" s="141" t="n"/>
      <c r="R8" s="1" t="n"/>
      <c r="S8" s="1" t="n"/>
      <c r="T8" s="1" t="n"/>
      <c r="U8" s="1" t="n"/>
      <c r="V8" s="1" t="n"/>
      <c r="W8" s="1" t="n"/>
      <c r="X8" s="1" t="n"/>
    </row>
    <row r="9" ht="18" customHeight="1" s="124">
      <c r="A9" s="1" t="n"/>
      <c r="B9" s="133" t="n"/>
      <c r="C9" s="134" t="n"/>
      <c r="D9" s="135" t="n"/>
      <c r="E9" s="134" t="n"/>
      <c r="F9" s="134" t="n"/>
      <c r="G9" s="134" t="n"/>
      <c r="H9" s="134" t="n"/>
      <c r="I9" s="134" t="n"/>
      <c r="J9" s="136" t="n"/>
      <c r="K9" s="133" t="n"/>
      <c r="L9" s="134" t="n"/>
      <c r="M9" s="136" t="n"/>
      <c r="N9" s="135" t="n"/>
      <c r="O9" s="134" t="n"/>
      <c r="P9" s="134" t="n"/>
      <c r="Q9" s="136" t="n"/>
      <c r="R9" s="1" t="n"/>
      <c r="S9" s="1" t="n"/>
      <c r="T9" s="1" t="n"/>
      <c r="U9" s="1" t="n"/>
      <c r="V9" s="1" t="n"/>
      <c r="W9" s="1" t="n"/>
      <c r="X9" s="1" t="n"/>
    </row>
    <row r="10" ht="18" customHeight="1" s="124">
      <c r="A10" s="1" t="n"/>
      <c r="B10" s="125" t="inlineStr">
        <is>
          <t>フリガナ</t>
        </is>
      </c>
      <c r="C10" s="126" t="n"/>
      <c r="D10" s="127" t="n"/>
      <c r="E10" s="27" t="inlineStr">
        <is>
          <t>〒</t>
        </is>
      </c>
      <c r="F10" s="28" t="inlineStr">
        <is>
          <t>ジャカルタ</t>
        </is>
      </c>
      <c r="G10" s="29" t="n"/>
      <c r="H10" s="28" t="inlineStr">
        <is>
          <t>インドネシア</t>
        </is>
      </c>
      <c r="I10" s="30" t="n"/>
      <c r="J10" s="30" t="n"/>
      <c r="K10" s="30" t="n"/>
      <c r="L10" s="30" t="n"/>
      <c r="M10" s="30" t="n"/>
      <c r="N10" s="30" t="n"/>
      <c r="O10" s="30" t="n"/>
      <c r="P10" s="30" t="n"/>
      <c r="Q10" s="30" t="n"/>
      <c r="R10" s="30" t="n"/>
      <c r="S10" s="30" t="n"/>
      <c r="T10" s="30" t="n"/>
      <c r="U10" s="30" t="n"/>
      <c r="V10" s="30" t="n"/>
      <c r="W10" s="31" t="n"/>
      <c r="X10" s="1" t="n"/>
    </row>
    <row r="11" ht="18" customHeight="1" s="124">
      <c r="A11" s="1" t="n"/>
      <c r="B11" s="129" t="inlineStr">
        <is>
          <t>現住所</t>
        </is>
      </c>
      <c r="D11" s="130" t="n"/>
      <c r="E11" s="85" t="inlineStr">
        <is>
          <t>Jakarta, Indonesia</t>
        </is>
      </c>
      <c r="W11" s="132" t="n"/>
      <c r="X11" s="1" t="n"/>
    </row>
    <row r="12" ht="18" customHeight="1" s="124">
      <c r="A12" s="1" t="n"/>
      <c r="B12" s="133" t="n"/>
      <c r="C12" s="134" t="n"/>
      <c r="D12" s="135" t="n"/>
      <c r="E12" s="134" t="n"/>
      <c r="F12" s="134" t="n"/>
      <c r="G12" s="134" t="n"/>
      <c r="H12" s="134" t="n"/>
      <c r="I12" s="134" t="n"/>
      <c r="J12" s="134" t="n"/>
      <c r="K12" s="134" t="n"/>
      <c r="L12" s="134" t="n"/>
      <c r="M12" s="134" t="n"/>
      <c r="N12" s="134" t="n"/>
      <c r="O12" s="134" t="n"/>
      <c r="P12" s="134" t="n"/>
      <c r="Q12" s="134" t="n"/>
      <c r="R12" s="134" t="n"/>
      <c r="S12" s="134" t="n"/>
      <c r="T12" s="134" t="n"/>
      <c r="U12" s="134" t="n"/>
      <c r="V12" s="134" t="n"/>
      <c r="W12" s="136" t="n"/>
      <c r="X12" s="1" t="n"/>
    </row>
    <row r="13" ht="18" customHeight="1" s="124">
      <c r="A13" s="1" t="n"/>
      <c r="B13" s="137" t="inlineStr">
        <is>
          <t>電話番号</t>
        </is>
      </c>
      <c r="C13" s="138" t="n"/>
      <c r="D13" s="139" t="n"/>
      <c r="E13" s="146">
        <f>628515983459</f>
        <v/>
      </c>
      <c r="F13" s="138" t="n"/>
      <c r="G13" s="138" t="n"/>
      <c r="H13" s="138" t="n"/>
      <c r="I13" s="138" t="n"/>
      <c r="J13" s="138" t="n"/>
      <c r="K13" s="138" t="n"/>
      <c r="L13" s="141" t="n"/>
      <c r="M13" s="137" t="inlineStr">
        <is>
          <t>パスポート</t>
        </is>
      </c>
      <c r="N13" s="138" t="n"/>
      <c r="O13" s="139" t="n"/>
      <c r="P13" s="147" t="inlineStr">
        <is>
          <t>有</t>
        </is>
      </c>
      <c r="Q13" s="138" t="n"/>
      <c r="R13" s="138" t="n"/>
      <c r="S13" s="138" t="n"/>
      <c r="T13" s="138" t="n"/>
      <c r="U13" s="138" t="n"/>
      <c r="V13" s="138" t="n"/>
      <c r="W13" s="141" t="n"/>
      <c r="X13" s="1" t="n"/>
    </row>
    <row r="14" ht="18" customHeight="1" s="124">
      <c r="A14" s="1" t="n"/>
      <c r="B14" s="133" t="n"/>
      <c r="C14" s="134" t="n"/>
      <c r="D14" s="135" t="n"/>
      <c r="E14" s="134" t="n"/>
      <c r="F14" s="134" t="n"/>
      <c r="G14" s="134" t="n"/>
      <c r="H14" s="134" t="n"/>
      <c r="I14" s="134" t="n"/>
      <c r="J14" s="134" t="n"/>
      <c r="K14" s="134" t="n"/>
      <c r="L14" s="136" t="n"/>
      <c r="M14" s="133" t="n"/>
      <c r="N14" s="134" t="n"/>
      <c r="O14" s="135" t="n"/>
      <c r="P14" s="134" t="n"/>
      <c r="Q14" s="134" t="n"/>
      <c r="R14" s="134" t="n"/>
      <c r="S14" s="134" t="n"/>
      <c r="T14" s="134" t="n"/>
      <c r="U14" s="134" t="n"/>
      <c r="V14" s="134" t="n"/>
      <c r="W14" s="136" t="n"/>
      <c r="X14" s="1" t="n"/>
    </row>
    <row r="15" ht="18" customHeight="1" s="124">
      <c r="A15" s="1" t="n"/>
      <c r="B15" s="137" t="inlineStr">
        <is>
          <t>メールアドレス</t>
        </is>
      </c>
      <c r="C15" s="138" t="n"/>
      <c r="D15" s="139" t="n"/>
      <c r="E15" s="147" t="inlineStr">
        <is>
          <t>firzasandjaya@gmail.com</t>
        </is>
      </c>
      <c r="F15" s="138" t="n"/>
      <c r="G15" s="138" t="n"/>
      <c r="H15" s="138" t="n"/>
      <c r="I15" s="138" t="n"/>
      <c r="J15" s="138" t="n"/>
      <c r="K15" s="138" t="n"/>
      <c r="L15" s="141" t="n"/>
      <c r="M15" s="137" t="inlineStr">
        <is>
          <t>在留資格</t>
        </is>
      </c>
      <c r="N15" s="138" t="n"/>
      <c r="O15" s="139" t="n"/>
      <c r="P15" s="147" t="inlineStr">
        <is>
          <t>無</t>
        </is>
      </c>
      <c r="Q15" s="138" t="n"/>
      <c r="R15" s="138" t="n"/>
      <c r="S15" s="138" t="n"/>
      <c r="T15" s="138" t="n"/>
      <c r="U15" s="138" t="n"/>
      <c r="V15" s="138" t="n"/>
      <c r="W15" s="141" t="n"/>
      <c r="X15" s="1" t="n"/>
    </row>
    <row r="16" ht="18" customHeight="1" s="124">
      <c r="A16" s="1" t="n"/>
      <c r="B16" s="133" t="n"/>
      <c r="C16" s="134" t="n"/>
      <c r="D16" s="135" t="n"/>
      <c r="E16" s="134" t="n"/>
      <c r="F16" s="134" t="n"/>
      <c r="G16" s="134" t="n"/>
      <c r="H16" s="134" t="n"/>
      <c r="I16" s="134" t="n"/>
      <c r="J16" s="134" t="n"/>
      <c r="K16" s="134" t="n"/>
      <c r="L16" s="136" t="n"/>
      <c r="M16" s="133" t="n"/>
      <c r="N16" s="134" t="n"/>
      <c r="O16" s="135" t="n"/>
      <c r="P16" s="134" t="n"/>
      <c r="Q16" s="134" t="n"/>
      <c r="R16" s="134" t="n"/>
      <c r="S16" s="134" t="n"/>
      <c r="T16" s="134" t="n"/>
      <c r="U16" s="134" t="n"/>
      <c r="V16" s="134" t="n"/>
      <c r="W16" s="136" t="n"/>
      <c r="X16" s="1" t="n"/>
    </row>
    <row r="17" ht="18" customHeight="1" s="124">
      <c r="A17" s="1" t="n"/>
      <c r="B17" s="137" t="inlineStr">
        <is>
          <t>国籍</t>
        </is>
      </c>
      <c r="C17" s="138" t="n"/>
      <c r="D17" s="139" t="n"/>
      <c r="E17" s="147" t="inlineStr">
        <is>
          <t>インドネシア</t>
        </is>
      </c>
      <c r="F17" s="138" t="n"/>
      <c r="G17" s="138" t="n"/>
      <c r="H17" s="138" t="n"/>
      <c r="I17" s="138" t="n"/>
      <c r="J17" s="138" t="n"/>
      <c r="K17" s="138" t="n"/>
      <c r="L17" s="141" t="n"/>
      <c r="M17" s="137" t="inlineStr">
        <is>
          <t>在留期限</t>
        </is>
      </c>
      <c r="N17" s="138" t="n"/>
      <c r="O17" s="139" t="n"/>
      <c r="P17" s="147" t="inlineStr">
        <is>
          <t>無</t>
        </is>
      </c>
      <c r="Q17" s="138" t="n"/>
      <c r="R17" s="138" t="n"/>
      <c r="S17" s="138" t="n"/>
      <c r="T17" s="138" t="n"/>
      <c r="U17" s="138" t="n"/>
      <c r="V17" s="138" t="n"/>
      <c r="W17" s="141" t="n"/>
      <c r="X17" s="1" t="n"/>
    </row>
    <row r="18" ht="18" customHeight="1" s="124">
      <c r="A18" s="1" t="n"/>
      <c r="B18" s="133" t="n"/>
      <c r="C18" s="134" t="n"/>
      <c r="D18" s="135" t="n"/>
      <c r="E18" s="134" t="n"/>
      <c r="F18" s="134" t="n"/>
      <c r="G18" s="134" t="n"/>
      <c r="H18" s="134" t="n"/>
      <c r="I18" s="134" t="n"/>
      <c r="J18" s="134" t="n"/>
      <c r="K18" s="134" t="n"/>
      <c r="L18" s="136" t="n"/>
      <c r="M18" s="133" t="n"/>
      <c r="N18" s="134" t="n"/>
      <c r="O18" s="135" t="n"/>
      <c r="P18" s="134" t="n"/>
      <c r="Q18" s="134" t="n"/>
      <c r="R18" s="134" t="n"/>
      <c r="S18" s="134" t="n"/>
      <c r="T18" s="134" t="n"/>
      <c r="U18" s="134" t="n"/>
      <c r="V18" s="134" t="n"/>
      <c r="W18" s="136" t="n"/>
      <c r="X18" s="1" t="n"/>
    </row>
    <row r="19" ht="18" customHeight="1" s="124">
      <c r="A19" s="1" t="n"/>
      <c r="B19" s="137" t="inlineStr">
        <is>
          <t>母語</t>
        </is>
      </c>
      <c r="C19" s="138" t="n"/>
      <c r="D19" s="139" t="n"/>
      <c r="E19" s="147" t="inlineStr">
        <is>
          <t>Indonesian</t>
        </is>
      </c>
      <c r="F19" s="138" t="n"/>
      <c r="G19" s="138" t="n"/>
      <c r="H19" s="138" t="n"/>
      <c r="I19" s="138" t="n"/>
      <c r="J19" s="138" t="n"/>
      <c r="K19" s="138" t="n"/>
      <c r="L19" s="141" t="n"/>
      <c r="M19" s="137" t="inlineStr">
        <is>
          <t>日本語レベル</t>
        </is>
      </c>
      <c r="N19" s="138" t="n"/>
      <c r="O19" s="139" t="n"/>
      <c r="P19" s="147" t="inlineStr">
        <is>
          <t>N3合格</t>
        </is>
      </c>
      <c r="Q19" s="138" t="n"/>
      <c r="R19" s="138" t="n"/>
      <c r="S19" s="138" t="n"/>
      <c r="T19" s="138" t="n"/>
      <c r="U19" s="138" t="n"/>
      <c r="V19" s="138" t="n"/>
      <c r="W19" s="141" t="n"/>
      <c r="X19" s="1" t="n"/>
    </row>
    <row r="20" ht="18" customHeight="1" s="124">
      <c r="A20" s="1" t="n"/>
      <c r="B20" s="133" t="n"/>
      <c r="C20" s="134" t="n"/>
      <c r="D20" s="135" t="n"/>
      <c r="E20" s="134" t="n"/>
      <c r="F20" s="134" t="n"/>
      <c r="G20" s="134" t="n"/>
      <c r="H20" s="134" t="n"/>
      <c r="I20" s="134" t="n"/>
      <c r="J20" s="134" t="n"/>
      <c r="K20" s="134" t="n"/>
      <c r="L20" s="136" t="n"/>
      <c r="M20" s="133" t="n"/>
      <c r="N20" s="134" t="n"/>
      <c r="O20" s="135" t="n"/>
      <c r="P20" s="134" t="n"/>
      <c r="Q20" s="134" t="n"/>
      <c r="R20" s="134" t="n"/>
      <c r="S20" s="134" t="n"/>
      <c r="T20" s="134" t="n"/>
      <c r="U20" s="134" t="n"/>
      <c r="V20" s="134" t="n"/>
      <c r="W20" s="136" t="n"/>
      <c r="X20" s="1" t="n"/>
    </row>
    <row r="21" ht="18" customHeight="1" s="124">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row>
    <row r="22" ht="18" customHeight="1" s="124">
      <c r="A22" s="1" t="n"/>
      <c r="B22" s="148" t="inlineStr">
        <is>
          <t>入学年月</t>
        </is>
      </c>
      <c r="C22" s="138" t="n"/>
      <c r="D22" s="141" t="n"/>
      <c r="E22" s="95" t="inlineStr">
        <is>
          <t>卒業年月</t>
        </is>
      </c>
      <c r="F22" s="138" t="n"/>
      <c r="G22" s="141" t="n"/>
      <c r="H22" s="78" t="inlineStr">
        <is>
          <t>学校名</t>
        </is>
      </c>
      <c r="I22" s="138" t="n"/>
      <c r="J22" s="138" t="n"/>
      <c r="K22" s="138" t="n"/>
      <c r="L22" s="138" t="n"/>
      <c r="M22" s="138" t="n"/>
      <c r="N22" s="138" t="n"/>
      <c r="O22" s="139" t="n"/>
      <c r="P22" s="78" t="inlineStr">
        <is>
          <t>学部・専攻</t>
        </is>
      </c>
      <c r="Q22" s="138" t="n"/>
      <c r="R22" s="138" t="n"/>
      <c r="S22" s="138" t="n"/>
      <c r="T22" s="139" t="n"/>
      <c r="U22" s="79" t="inlineStr">
        <is>
          <t>在学状況</t>
        </is>
      </c>
      <c r="V22" s="138" t="n"/>
      <c r="W22" s="141" t="n"/>
      <c r="X22" s="1" t="n"/>
    </row>
    <row r="23" ht="18" customHeight="1" s="124">
      <c r="A23" s="1" t="n"/>
      <c r="B23" s="149" t="n"/>
      <c r="C23" s="150" t="n"/>
      <c r="D23" s="151" t="n"/>
      <c r="E23" s="152" t="n"/>
      <c r="F23" s="150" t="n"/>
      <c r="G23" s="151" t="n"/>
      <c r="H23" s="152" t="n"/>
      <c r="I23" s="150" t="n"/>
      <c r="J23" s="150" t="n"/>
      <c r="K23" s="150" t="n"/>
      <c r="L23" s="150" t="n"/>
      <c r="M23" s="150" t="n"/>
      <c r="N23" s="150" t="n"/>
      <c r="O23" s="153" t="n"/>
      <c r="P23" s="152" t="n"/>
      <c r="Q23" s="150" t="n"/>
      <c r="R23" s="150" t="n"/>
      <c r="S23" s="150" t="n"/>
      <c r="T23" s="153" t="n"/>
      <c r="U23" s="150" t="n"/>
      <c r="V23" s="150" t="n"/>
      <c r="W23" s="151" t="n"/>
      <c r="X23" s="1" t="n"/>
    </row>
    <row r="24" ht="18" customHeight="1" s="124">
      <c r="A24" s="1" t="n"/>
      <c r="B24" s="154" t="n">
        <v>42948</v>
      </c>
      <c r="D24" s="130" t="n"/>
      <c r="E24" s="154" t="n">
        <v>44470</v>
      </c>
      <c r="G24" s="130" t="n"/>
      <c r="H24" s="155" t="inlineStr">
        <is>
          <t>バンドン工科大学 (Bandung Institute of Technology)</t>
        </is>
      </c>
      <c r="O24" s="130" t="n"/>
      <c r="P24" s="156" t="inlineStr">
        <is>
          <t>産業工学</t>
        </is>
      </c>
      <c r="T24" s="130" t="n"/>
      <c r="U24" s="157" t="inlineStr">
        <is>
          <t>卒業</t>
        </is>
      </c>
      <c r="W24" s="132" t="n"/>
      <c r="X24" s="1" t="n"/>
    </row>
    <row r="25" ht="18" customHeight="1" s="124">
      <c r="A25" s="1" t="n"/>
      <c r="B25" s="133" t="n"/>
      <c r="C25" s="134" t="n"/>
      <c r="D25" s="135" t="n"/>
      <c r="E25" s="133" t="n"/>
      <c r="F25" s="134" t="n"/>
      <c r="G25" s="135" t="n"/>
      <c r="H25" s="152" t="n"/>
      <c r="I25" s="150" t="n"/>
      <c r="J25" s="150" t="n"/>
      <c r="K25" s="150" t="n"/>
      <c r="L25" s="150" t="n"/>
      <c r="M25" s="150" t="n"/>
      <c r="N25" s="150" t="n"/>
      <c r="O25" s="153" t="n"/>
      <c r="P25" s="150" t="n"/>
      <c r="Q25" s="150" t="n"/>
      <c r="R25" s="150" t="n"/>
      <c r="S25" s="150" t="n"/>
      <c r="T25" s="153" t="n"/>
      <c r="U25" s="152" t="n"/>
      <c r="V25" s="150" t="n"/>
      <c r="W25" s="151" t="n"/>
      <c r="X25" s="1" t="n"/>
    </row>
    <row r="26" ht="18" customHeight="1" s="124">
      <c r="A26" s="1" t="n"/>
      <c r="B26" s="158" t="n"/>
      <c r="C26" s="159" t="n"/>
      <c r="D26" s="160" t="n"/>
      <c r="E26" s="161" t="n"/>
      <c r="F26" s="159" t="n"/>
      <c r="G26" s="160" t="n"/>
      <c r="H26" s="162" t="n"/>
      <c r="I26" s="159" t="n"/>
      <c r="J26" s="159" t="n"/>
      <c r="K26" s="159" t="n"/>
      <c r="L26" s="159" t="n"/>
      <c r="M26" s="159" t="n"/>
      <c r="N26" s="159" t="n"/>
      <c r="O26" s="160" t="n"/>
      <c r="P26" s="162" t="n"/>
      <c r="Q26" s="159" t="n"/>
      <c r="R26" s="159" t="n"/>
      <c r="S26" s="159" t="n"/>
      <c r="T26" s="160" t="n"/>
      <c r="U26" s="163" t="n"/>
      <c r="V26" s="159" t="n"/>
      <c r="W26" s="164" t="n"/>
      <c r="X26" s="1" t="n"/>
    </row>
    <row r="27" ht="18" customHeight="1" s="124">
      <c r="A27" s="1" t="n"/>
      <c r="B27" s="133" t="n"/>
      <c r="C27" s="134" t="n"/>
      <c r="D27" s="135" t="n"/>
      <c r="E27" s="152" t="n"/>
      <c r="F27" s="150" t="n"/>
      <c r="G27" s="153" t="n"/>
      <c r="H27" s="152" t="n"/>
      <c r="I27" s="150" t="n"/>
      <c r="J27" s="150" t="n"/>
      <c r="K27" s="150" t="n"/>
      <c r="L27" s="150" t="n"/>
      <c r="M27" s="150" t="n"/>
      <c r="N27" s="150" t="n"/>
      <c r="O27" s="153" t="n"/>
      <c r="P27" s="152" t="n"/>
      <c r="Q27" s="150" t="n"/>
      <c r="R27" s="150" t="n"/>
      <c r="S27" s="150" t="n"/>
      <c r="T27" s="153" t="n"/>
      <c r="U27" s="152" t="n"/>
      <c r="V27" s="150" t="n"/>
      <c r="W27" s="151" t="n"/>
      <c r="X27" s="1" t="n"/>
    </row>
    <row r="28" ht="18" customHeight="1" s="124">
      <c r="A28" s="1" t="n"/>
      <c r="B28" s="158" t="n"/>
      <c r="C28" s="159" t="n"/>
      <c r="D28" s="160" t="n"/>
      <c r="E28" s="161" t="n"/>
      <c r="F28" s="159" t="n"/>
      <c r="G28" s="160" t="n"/>
      <c r="H28" s="162" t="n"/>
      <c r="I28" s="159" t="n"/>
      <c r="J28" s="159" t="n"/>
      <c r="K28" s="159" t="n"/>
      <c r="L28" s="159" t="n"/>
      <c r="M28" s="159" t="n"/>
      <c r="N28" s="159" t="n"/>
      <c r="O28" s="160" t="n"/>
      <c r="P28" s="162" t="n"/>
      <c r="Q28" s="159" t="n"/>
      <c r="R28" s="159" t="n"/>
      <c r="S28" s="159" t="n"/>
      <c r="T28" s="160" t="n"/>
      <c r="U28" s="165" t="n"/>
      <c r="W28" s="132" t="n"/>
      <c r="X28" s="1" t="n"/>
    </row>
    <row r="29" ht="18" customHeight="1" s="124">
      <c r="A29" s="1" t="n"/>
      <c r="B29" s="133" t="n"/>
      <c r="C29" s="134" t="n"/>
      <c r="D29" s="135" t="n"/>
      <c r="E29" s="152" t="n"/>
      <c r="F29" s="150" t="n"/>
      <c r="G29" s="153" t="n"/>
      <c r="H29" s="152" t="n"/>
      <c r="I29" s="150" t="n"/>
      <c r="J29" s="150" t="n"/>
      <c r="K29" s="150" t="n"/>
      <c r="L29" s="150" t="n"/>
      <c r="M29" s="150" t="n"/>
      <c r="N29" s="150" t="n"/>
      <c r="O29" s="153" t="n"/>
      <c r="P29" s="152" t="n"/>
      <c r="Q29" s="150" t="n"/>
      <c r="R29" s="150" t="n"/>
      <c r="S29" s="150" t="n"/>
      <c r="T29" s="153" t="n"/>
      <c r="U29" s="134" t="n"/>
      <c r="V29" s="134" t="n"/>
      <c r="W29" s="136" t="n"/>
      <c r="X29" s="1" t="n"/>
    </row>
    <row r="30" ht="18" customHeight="1" s="124">
      <c r="A30" s="1" t="n"/>
      <c r="B30" s="158" t="n"/>
      <c r="C30" s="159" t="n"/>
      <c r="D30" s="160" t="n"/>
      <c r="E30" s="161" t="n"/>
      <c r="F30" s="159" t="n"/>
      <c r="G30" s="160" t="n"/>
      <c r="H30" s="162" t="n"/>
      <c r="I30" s="159" t="n"/>
      <c r="J30" s="159" t="n"/>
      <c r="K30" s="159" t="n"/>
      <c r="L30" s="159" t="n"/>
      <c r="M30" s="159" t="n"/>
      <c r="N30" s="159" t="n"/>
      <c r="O30" s="160" t="n"/>
      <c r="P30" s="162" t="n"/>
      <c r="Q30" s="159" t="n"/>
      <c r="R30" s="159" t="n"/>
      <c r="S30" s="159" t="n"/>
      <c r="T30" s="160" t="n"/>
      <c r="U30" s="163" t="n"/>
      <c r="V30" s="159" t="n"/>
      <c r="W30" s="164" t="n"/>
      <c r="X30" s="1" t="n"/>
    </row>
    <row r="31" ht="18" customHeight="1" s="124">
      <c r="A31" s="1" t="n"/>
      <c r="B31" s="133" t="n"/>
      <c r="C31" s="134" t="n"/>
      <c r="D31" s="135" t="n"/>
      <c r="E31" s="152" t="n"/>
      <c r="F31" s="150" t="n"/>
      <c r="G31" s="153" t="n"/>
      <c r="H31" s="152" t="n"/>
      <c r="I31" s="150" t="n"/>
      <c r="J31" s="150" t="n"/>
      <c r="K31" s="150" t="n"/>
      <c r="L31" s="150" t="n"/>
      <c r="M31" s="150" t="n"/>
      <c r="N31" s="150" t="n"/>
      <c r="O31" s="153" t="n"/>
      <c r="P31" s="152" t="n"/>
      <c r="Q31" s="150" t="n"/>
      <c r="R31" s="150" t="n"/>
      <c r="S31" s="150" t="n"/>
      <c r="T31" s="153" t="n"/>
      <c r="U31" s="152" t="n"/>
      <c r="V31" s="150" t="n"/>
      <c r="W31" s="151" t="n"/>
      <c r="X31" s="1" t="n"/>
    </row>
    <row r="32" ht="18" customHeight="1" s="124">
      <c r="A32" s="1" t="n"/>
      <c r="B32" s="158" t="n"/>
      <c r="C32" s="159" t="n"/>
      <c r="D32" s="160" t="n"/>
      <c r="E32" s="161" t="n"/>
      <c r="F32" s="159" t="n"/>
      <c r="G32" s="160" t="n"/>
      <c r="H32" s="162" t="n"/>
      <c r="I32" s="159" t="n"/>
      <c r="J32" s="159" t="n"/>
      <c r="K32" s="159" t="n"/>
      <c r="L32" s="159" t="n"/>
      <c r="M32" s="159" t="n"/>
      <c r="N32" s="159" t="n"/>
      <c r="O32" s="160" t="n"/>
      <c r="P32" s="162" t="n"/>
      <c r="Q32" s="159" t="n"/>
      <c r="R32" s="159" t="n"/>
      <c r="S32" s="159" t="n"/>
      <c r="T32" s="160" t="n"/>
      <c r="U32" s="157" t="n"/>
      <c r="W32" s="132" t="n"/>
      <c r="X32" s="1" t="n"/>
    </row>
    <row r="33" ht="18" customHeight="1" s="124">
      <c r="A33" s="1" t="n"/>
      <c r="B33" s="133" t="n"/>
      <c r="C33" s="134" t="n"/>
      <c r="D33" s="135" t="n"/>
      <c r="E33" s="152" t="n"/>
      <c r="F33" s="150" t="n"/>
      <c r="G33" s="153" t="n"/>
      <c r="H33" s="152" t="n"/>
      <c r="I33" s="150" t="n"/>
      <c r="J33" s="150" t="n"/>
      <c r="K33" s="150" t="n"/>
      <c r="L33" s="150" t="n"/>
      <c r="M33" s="150" t="n"/>
      <c r="N33" s="150" t="n"/>
      <c r="O33" s="153" t="n"/>
      <c r="P33" s="152" t="n"/>
      <c r="Q33" s="150" t="n"/>
      <c r="R33" s="150" t="n"/>
      <c r="S33" s="150" t="n"/>
      <c r="T33" s="153" t="n"/>
      <c r="U33" s="152" t="n"/>
      <c r="V33" s="150" t="n"/>
      <c r="W33" s="151" t="n"/>
      <c r="X33" s="1" t="n"/>
    </row>
    <row r="34" ht="18" customHeight="1" s="124">
      <c r="A34" s="1" t="n"/>
      <c r="B34" s="166" t="n"/>
      <c r="C34" s="159" t="n"/>
      <c r="D34" s="164" t="n"/>
      <c r="E34" s="167" t="n"/>
      <c r="F34" s="159" t="n"/>
      <c r="G34" s="160" t="n"/>
      <c r="H34" s="165" t="n"/>
      <c r="O34" s="132" t="n"/>
      <c r="P34" s="168" t="n"/>
      <c r="Q34" s="159" t="n"/>
      <c r="R34" s="159" t="n"/>
      <c r="S34" s="159" t="n"/>
      <c r="T34" s="159" t="n"/>
      <c r="U34" s="169" t="n"/>
      <c r="W34" s="132" t="n"/>
      <c r="X34" s="1" t="n"/>
    </row>
    <row r="35" ht="18" customHeight="1" s="124">
      <c r="A35" s="1" t="n"/>
      <c r="B35" s="133" t="n"/>
      <c r="C35" s="134" t="n"/>
      <c r="D35" s="136" t="n"/>
      <c r="E35" s="170" t="n"/>
      <c r="F35" s="134" t="n"/>
      <c r="G35" s="135" t="n"/>
      <c r="H35" s="134" t="n"/>
      <c r="I35" s="134" t="n"/>
      <c r="J35" s="134" t="n"/>
      <c r="K35" s="134" t="n"/>
      <c r="L35" s="134" t="n"/>
      <c r="M35" s="134" t="n"/>
      <c r="N35" s="134" t="n"/>
      <c r="O35" s="136" t="n"/>
      <c r="P35" s="170" t="n"/>
      <c r="Q35" s="134" t="n"/>
      <c r="R35" s="134" t="n"/>
      <c r="S35" s="134" t="n"/>
      <c r="T35" s="134" t="n"/>
      <c r="U35" s="170" t="n"/>
      <c r="V35" s="134" t="n"/>
      <c r="W35" s="136" t="n"/>
      <c r="X35" s="1" t="n"/>
    </row>
    <row r="36" ht="18" customHeight="1" s="124">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row>
    <row r="37" ht="18" customHeight="1" s="124">
      <c r="A37" s="1" t="n"/>
      <c r="B37" s="125" t="inlineStr">
        <is>
          <t>入社年月</t>
        </is>
      </c>
      <c r="C37" s="138" t="n"/>
      <c r="D37" s="139" t="n"/>
      <c r="E37" s="78" t="inlineStr">
        <is>
          <t>退職年月</t>
        </is>
      </c>
      <c r="F37" s="138" t="n"/>
      <c r="G37" s="139" t="n"/>
      <c r="H37" s="78" t="inlineStr">
        <is>
          <t>会社名</t>
        </is>
      </c>
      <c r="I37" s="138" t="n"/>
      <c r="J37" s="138" t="n"/>
      <c r="K37" s="138" t="n"/>
      <c r="L37" s="138" t="n"/>
      <c r="M37" s="138" t="n"/>
      <c r="N37" s="138" t="n"/>
      <c r="O37" s="139" t="n"/>
      <c r="P37" s="78" t="inlineStr">
        <is>
          <t>職種</t>
        </is>
      </c>
      <c r="Q37" s="138" t="n"/>
      <c r="R37" s="138" t="n"/>
      <c r="S37" s="138" t="n"/>
      <c r="T37" s="139" t="n"/>
      <c r="U37" s="144" t="inlineStr">
        <is>
          <t>雇用形態</t>
        </is>
      </c>
      <c r="V37" s="138" t="n"/>
      <c r="W37" s="141" t="n"/>
      <c r="X37" s="1" t="n"/>
    </row>
    <row r="38" ht="18" customHeight="1" s="124">
      <c r="A38" s="1" t="n"/>
      <c r="B38" s="149" t="n"/>
      <c r="C38" s="150" t="n"/>
      <c r="D38" s="153" t="n"/>
      <c r="E38" s="152" t="n"/>
      <c r="F38" s="150" t="n"/>
      <c r="G38" s="153" t="n"/>
      <c r="H38" s="152" t="n"/>
      <c r="I38" s="150" t="n"/>
      <c r="J38" s="150" t="n"/>
      <c r="K38" s="150" t="n"/>
      <c r="L38" s="150" t="n"/>
      <c r="M38" s="150" t="n"/>
      <c r="N38" s="150" t="n"/>
      <c r="O38" s="153" t="n"/>
      <c r="P38" s="152" t="n"/>
      <c r="Q38" s="150" t="n"/>
      <c r="R38" s="150" t="n"/>
      <c r="S38" s="150" t="n"/>
      <c r="T38" s="153" t="n"/>
      <c r="U38" s="134" t="n"/>
      <c r="V38" s="134" t="n"/>
      <c r="W38" s="136" t="n"/>
      <c r="X38" s="1" t="n"/>
    </row>
    <row r="39" ht="18" customHeight="1" s="124">
      <c r="A39" s="1" t="n"/>
      <c r="B39" s="171" t="n">
        <v>45717</v>
      </c>
      <c r="D39" s="130" t="n"/>
      <c r="E39" s="171" t="n">
        <v>46140</v>
      </c>
      <c r="G39" s="130" t="n"/>
      <c r="H39" s="155" t="inlineStr">
        <is>
          <t>PT Hypefast Karya Nusantara</t>
        </is>
      </c>
      <c r="O39" s="130" t="n"/>
      <c r="P39" s="155" t="inlineStr">
        <is>
          <t>データエンジニア</t>
        </is>
      </c>
      <c r="T39" s="130" t="n"/>
      <c r="U39" s="87" t="inlineStr">
        <is>
          <t>正社員</t>
        </is>
      </c>
      <c r="V39" s="159" t="n"/>
      <c r="W39" s="164" t="n"/>
      <c r="X39" s="1" t="n"/>
    </row>
    <row r="40" ht="18" customHeight="1" s="124">
      <c r="A40" s="1" t="n"/>
      <c r="B40" s="149" t="n"/>
      <c r="C40" s="150" t="n"/>
      <c r="D40" s="153" t="n"/>
      <c r="E40" s="149" t="n"/>
      <c r="F40" s="150" t="n"/>
      <c r="G40" s="153" t="n"/>
      <c r="H40" s="152" t="n"/>
      <c r="I40" s="150" t="n"/>
      <c r="J40" s="150" t="n"/>
      <c r="K40" s="150" t="n"/>
      <c r="L40" s="150" t="n"/>
      <c r="M40" s="150" t="n"/>
      <c r="N40" s="150" t="n"/>
      <c r="O40" s="153" t="n"/>
      <c r="P40" s="152" t="n"/>
      <c r="Q40" s="150" t="n"/>
      <c r="R40" s="150" t="n"/>
      <c r="S40" s="150" t="n"/>
      <c r="T40" s="153" t="n"/>
      <c r="U40" s="152" t="n"/>
      <c r="V40" s="150" t="n"/>
      <c r="W40" s="151" t="n"/>
      <c r="X40" s="1" t="n"/>
    </row>
    <row r="41" ht="18" customHeight="1" s="124">
      <c r="A41" s="1" t="n"/>
      <c r="B41" s="171" t="n">
        <v>44743</v>
      </c>
      <c r="D41" s="130" t="n"/>
      <c r="E41" s="171" t="n">
        <v>45717</v>
      </c>
      <c r="G41" s="130" t="n"/>
      <c r="H41" s="162" t="inlineStr">
        <is>
          <t>PT IDstar Cipta Teknologi (PT XL Axiata Tbk. 派遣/常駐)</t>
        </is>
      </c>
      <c r="I41" s="159" t="n"/>
      <c r="J41" s="159" t="n"/>
      <c r="K41" s="159" t="n"/>
      <c r="L41" s="159" t="n"/>
      <c r="M41" s="159" t="n"/>
      <c r="N41" s="159" t="n"/>
      <c r="O41" s="160" t="n"/>
      <c r="P41" s="162" t="inlineStr">
        <is>
          <t>データエンジニア</t>
        </is>
      </c>
      <c r="Q41" s="159" t="n"/>
      <c r="R41" s="159" t="n"/>
      <c r="S41" s="159" t="n"/>
      <c r="T41" s="160" t="n"/>
      <c r="U41" s="172" t="inlineStr">
        <is>
          <t>正社員</t>
        </is>
      </c>
      <c r="V41" s="159" t="n"/>
      <c r="W41" s="164" t="n"/>
      <c r="X41" s="1" t="n"/>
    </row>
    <row r="42" ht="18" customHeight="1" s="124">
      <c r="A42" s="1" t="n"/>
      <c r="B42" s="149" t="n"/>
      <c r="C42" s="150" t="n"/>
      <c r="D42" s="153" t="n"/>
      <c r="E42" s="149" t="n"/>
      <c r="F42" s="150" t="n"/>
      <c r="G42" s="153" t="n"/>
      <c r="H42" s="152" t="n"/>
      <c r="I42" s="150" t="n"/>
      <c r="J42" s="150" t="n"/>
      <c r="K42" s="150" t="n"/>
      <c r="L42" s="150" t="n"/>
      <c r="M42" s="150" t="n"/>
      <c r="N42" s="150" t="n"/>
      <c r="O42" s="153" t="n"/>
      <c r="P42" s="152" t="n"/>
      <c r="Q42" s="150" t="n"/>
      <c r="R42" s="150" t="n"/>
      <c r="S42" s="150" t="n"/>
      <c r="T42" s="153" t="n"/>
      <c r="U42" s="150" t="n"/>
      <c r="V42" s="150" t="n"/>
      <c r="W42" s="151" t="n"/>
      <c r="X42" s="1" t="n"/>
    </row>
    <row r="43" ht="18" customHeight="1" s="124">
      <c r="A43" s="54" t="n"/>
      <c r="B43" s="173" t="n">
        <v>44228</v>
      </c>
      <c r="C43" s="159" t="n"/>
      <c r="D43" s="160" t="n"/>
      <c r="E43" s="161" t="n">
        <v>44409</v>
      </c>
      <c r="F43" s="159" t="n"/>
      <c r="G43" s="160" t="n"/>
      <c r="H43" s="162" t="inlineStr">
        <is>
          <t>PT Telkom Indonesia</t>
        </is>
      </c>
      <c r="I43" s="159" t="n"/>
      <c r="J43" s="159" t="n"/>
      <c r="K43" s="159" t="n"/>
      <c r="L43" s="159" t="n"/>
      <c r="M43" s="159" t="n"/>
      <c r="N43" s="159" t="n"/>
      <c r="O43" s="160" t="n"/>
      <c r="P43" s="162" t="inlineStr">
        <is>
          <t>データサイエンティスト</t>
        </is>
      </c>
      <c r="Q43" s="159" t="n"/>
      <c r="R43" s="159" t="n"/>
      <c r="S43" s="159" t="n"/>
      <c r="T43" s="160" t="n"/>
      <c r="U43" s="172" t="inlineStr">
        <is>
          <t>インターンシップ</t>
        </is>
      </c>
      <c r="V43" s="159" t="n"/>
      <c r="W43" s="164" t="n"/>
      <c r="X43" s="56" t="n"/>
    </row>
    <row r="44" ht="18" customHeight="1" s="124">
      <c r="A44" s="54" t="n"/>
      <c r="B44" s="150" t="n"/>
      <c r="C44" s="150" t="n"/>
      <c r="D44" s="153" t="n"/>
      <c r="E44" s="152" t="n"/>
      <c r="F44" s="150" t="n"/>
      <c r="G44" s="153" t="n"/>
      <c r="H44" s="152" t="n"/>
      <c r="I44" s="150" t="n"/>
      <c r="J44" s="150" t="n"/>
      <c r="K44" s="150" t="n"/>
      <c r="L44" s="150" t="n"/>
      <c r="M44" s="150" t="n"/>
      <c r="N44" s="150" t="n"/>
      <c r="O44" s="153" t="n"/>
      <c r="P44" s="152" t="n"/>
      <c r="Q44" s="150" t="n"/>
      <c r="R44" s="150" t="n"/>
      <c r="S44" s="150" t="n"/>
      <c r="T44" s="153" t="n"/>
      <c r="U44" s="150" t="n"/>
      <c r="V44" s="150" t="n"/>
      <c r="W44" s="151" t="n"/>
      <c r="X44" s="56" t="n"/>
    </row>
    <row r="45" ht="18" customHeight="1" s="124">
      <c r="A45" s="54" t="n"/>
      <c r="B45" s="174" t="n"/>
      <c r="D45" s="130" t="n"/>
      <c r="E45" s="175" t="n"/>
      <c r="G45" s="130" t="n"/>
      <c r="H45" s="155" t="n"/>
      <c r="O45" s="130" t="n"/>
      <c r="P45" s="155" t="n"/>
      <c r="T45" s="130" t="n"/>
      <c r="U45" s="176" t="n"/>
      <c r="W45" s="132" t="n"/>
      <c r="X45" s="56" t="n"/>
    </row>
    <row r="46" ht="18" customHeight="1" s="124">
      <c r="A46" s="54" t="n"/>
      <c r="B46" s="150" t="n"/>
      <c r="C46" s="150" t="n"/>
      <c r="D46" s="153" t="n"/>
      <c r="E46" s="152" t="n"/>
      <c r="F46" s="150" t="n"/>
      <c r="G46" s="153" t="n"/>
      <c r="H46" s="152" t="n"/>
      <c r="I46" s="150" t="n"/>
      <c r="J46" s="150" t="n"/>
      <c r="K46" s="150" t="n"/>
      <c r="L46" s="150" t="n"/>
      <c r="M46" s="150" t="n"/>
      <c r="N46" s="150" t="n"/>
      <c r="O46" s="153" t="n"/>
      <c r="P46" s="152" t="n"/>
      <c r="Q46" s="150" t="n"/>
      <c r="R46" s="150" t="n"/>
      <c r="S46" s="150" t="n"/>
      <c r="T46" s="153" t="n"/>
      <c r="U46" s="150" t="n"/>
      <c r="V46" s="150" t="n"/>
      <c r="W46" s="151" t="n"/>
      <c r="X46" s="56" t="n"/>
    </row>
    <row r="47" ht="18" customHeight="1" s="124">
      <c r="A47" s="1" t="n"/>
      <c r="B47" s="177" t="n"/>
      <c r="C47" s="159" t="n"/>
      <c r="D47" s="160" t="n"/>
      <c r="E47" s="161" t="n"/>
      <c r="F47" s="159" t="n"/>
      <c r="G47" s="160" t="n"/>
      <c r="H47" s="162" t="n"/>
      <c r="I47" s="159" t="n"/>
      <c r="J47" s="159" t="n"/>
      <c r="K47" s="159" t="n"/>
      <c r="L47" s="159" t="n"/>
      <c r="M47" s="159" t="n"/>
      <c r="N47" s="159" t="n"/>
      <c r="O47" s="160" t="n"/>
      <c r="P47" s="162" t="n"/>
      <c r="Q47" s="159" t="n"/>
      <c r="R47" s="159" t="n"/>
      <c r="S47" s="159" t="n"/>
      <c r="T47" s="160" t="n"/>
      <c r="U47" s="172" t="n"/>
      <c r="V47" s="159" t="n"/>
      <c r="W47" s="164" t="n"/>
      <c r="X47" s="1" t="n"/>
    </row>
    <row r="48" ht="18" customHeight="1" s="124">
      <c r="A48" s="1" t="n"/>
      <c r="B48" s="149" t="n"/>
      <c r="C48" s="150" t="n"/>
      <c r="D48" s="153" t="n"/>
      <c r="E48" s="152" t="n"/>
      <c r="F48" s="150" t="n"/>
      <c r="G48" s="153" t="n"/>
      <c r="H48" s="152" t="n"/>
      <c r="I48" s="150" t="n"/>
      <c r="J48" s="150" t="n"/>
      <c r="K48" s="150" t="n"/>
      <c r="L48" s="150" t="n"/>
      <c r="M48" s="150" t="n"/>
      <c r="N48" s="150" t="n"/>
      <c r="O48" s="153" t="n"/>
      <c r="P48" s="152" t="n"/>
      <c r="Q48" s="150" t="n"/>
      <c r="R48" s="150" t="n"/>
      <c r="S48" s="150" t="n"/>
      <c r="T48" s="153" t="n"/>
      <c r="U48" s="150" t="n"/>
      <c r="V48" s="150" t="n"/>
      <c r="W48" s="151" t="n"/>
      <c r="X48" s="1" t="n"/>
    </row>
    <row r="49" ht="18" customHeight="1" s="124">
      <c r="A49" s="1" t="n"/>
      <c r="B49" s="154" t="n"/>
      <c r="D49" s="130" t="n"/>
      <c r="E49" s="178" t="n"/>
      <c r="G49" s="130" t="n"/>
      <c r="H49" s="179" t="n"/>
      <c r="O49" s="130" t="n"/>
      <c r="P49" s="179" t="n"/>
      <c r="T49" s="130" t="n"/>
      <c r="U49" s="85" t="n"/>
      <c r="W49" s="132" t="n"/>
      <c r="X49" s="1" t="n"/>
    </row>
    <row r="50" ht="18" customHeight="1" s="124">
      <c r="A50" s="1" t="n"/>
      <c r="B50" s="133" t="n"/>
      <c r="C50" s="134" t="n"/>
      <c r="D50" s="135" t="n"/>
      <c r="E50" s="170" t="n"/>
      <c r="F50" s="134" t="n"/>
      <c r="G50" s="135" t="n"/>
      <c r="H50" s="170" t="n"/>
      <c r="I50" s="134" t="n"/>
      <c r="J50" s="134" t="n"/>
      <c r="K50" s="134" t="n"/>
      <c r="L50" s="134" t="n"/>
      <c r="M50" s="134" t="n"/>
      <c r="N50" s="134" t="n"/>
      <c r="O50" s="135" t="n"/>
      <c r="P50" s="170" t="n"/>
      <c r="Q50" s="134" t="n"/>
      <c r="R50" s="134" t="n"/>
      <c r="S50" s="134" t="n"/>
      <c r="T50" s="135" t="n"/>
      <c r="U50" s="134" t="n"/>
      <c r="V50" s="134" t="n"/>
      <c r="W50" s="136" t="n"/>
      <c r="X50" s="1" t="n"/>
    </row>
    <row r="51" ht="18" customHeight="1" s="124">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row>
    <row r="52" ht="18" customHeight="1" s="124">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row>
    <row r="53" ht="18" customHeight="1" s="124">
      <c r="A53" s="1" t="n"/>
      <c r="B53" s="125" t="inlineStr">
        <is>
          <t>取得年月</t>
        </is>
      </c>
      <c r="C53" s="138" t="n"/>
      <c r="D53" s="139" t="n"/>
      <c r="E53" s="79" t="inlineStr">
        <is>
          <t>資格</t>
        </is>
      </c>
      <c r="F53" s="138" t="n"/>
      <c r="G53" s="138" t="n"/>
      <c r="H53" s="138" t="n"/>
      <c r="I53" s="138" t="n"/>
      <c r="J53" s="138" t="n"/>
      <c r="K53" s="138" t="n"/>
      <c r="L53" s="141" t="n"/>
      <c r="M53" s="125" t="inlineStr">
        <is>
          <t>取得年月</t>
        </is>
      </c>
      <c r="N53" s="138" t="n"/>
      <c r="O53" s="139" t="n"/>
      <c r="P53" s="79" t="inlineStr">
        <is>
          <t>資格</t>
        </is>
      </c>
      <c r="Q53" s="138" t="n"/>
      <c r="R53" s="138" t="n"/>
      <c r="S53" s="138" t="n"/>
      <c r="T53" s="138" t="n"/>
      <c r="U53" s="138" t="n"/>
      <c r="V53" s="138" t="n"/>
      <c r="W53" s="141" t="n"/>
      <c r="X53" s="1" t="n"/>
    </row>
    <row r="54" ht="18" customHeight="1" s="124">
      <c r="A54" s="1" t="n"/>
      <c r="B54" s="149" t="n"/>
      <c r="C54" s="150" t="n"/>
      <c r="D54" s="153" t="n"/>
      <c r="E54" s="150" t="n"/>
      <c r="F54" s="150" t="n"/>
      <c r="G54" s="150" t="n"/>
      <c r="H54" s="150" t="n"/>
      <c r="I54" s="150" t="n"/>
      <c r="J54" s="150" t="n"/>
      <c r="K54" s="150" t="n"/>
      <c r="L54" s="151" t="n"/>
      <c r="M54" s="149" t="n"/>
      <c r="N54" s="150" t="n"/>
      <c r="O54" s="153" t="n"/>
      <c r="P54" s="150" t="n"/>
      <c r="Q54" s="150" t="n"/>
      <c r="R54" s="150" t="n"/>
      <c r="S54" s="150" t="n"/>
      <c r="T54" s="150" t="n"/>
      <c r="U54" s="150" t="n"/>
      <c r="V54" s="150" t="n"/>
      <c r="W54" s="151" t="n"/>
      <c r="X54" s="1" t="n"/>
    </row>
    <row r="55" ht="18" customHeight="1" s="124">
      <c r="A55" s="1" t="n"/>
      <c r="B55" s="154" t="n">
        <v>45658</v>
      </c>
      <c r="D55" s="130" t="n"/>
      <c r="E55" s="180" t="inlineStr">
        <is>
          <t>JLPT N3</t>
        </is>
      </c>
      <c r="L55" s="132" t="n"/>
      <c r="M55" s="154" t="n"/>
      <c r="O55" s="130" t="n"/>
      <c r="P55" s="180" t="n"/>
      <c r="W55" s="132" t="n"/>
      <c r="X55" s="1" t="n"/>
    </row>
    <row r="56" ht="18" customHeight="1" s="124">
      <c r="A56" s="1" t="n"/>
      <c r="B56" s="133" t="n"/>
      <c r="C56" s="134" t="n"/>
      <c r="D56" s="135" t="n"/>
      <c r="E56" s="134" t="n"/>
      <c r="F56" s="134" t="n"/>
      <c r="G56" s="134" t="n"/>
      <c r="H56" s="134" t="n"/>
      <c r="I56" s="134" t="n"/>
      <c r="J56" s="134" t="n"/>
      <c r="K56" s="134" t="n"/>
      <c r="L56" s="136" t="n"/>
      <c r="M56" s="133" t="n"/>
      <c r="N56" s="134" t="n"/>
      <c r="O56" s="135" t="n"/>
      <c r="P56" s="134" t="n"/>
      <c r="Q56" s="134" t="n"/>
      <c r="R56" s="134" t="n"/>
      <c r="S56" s="134" t="n"/>
      <c r="T56" s="134" t="n"/>
      <c r="U56" s="134" t="n"/>
      <c r="V56" s="134" t="n"/>
      <c r="W56" s="136" t="n"/>
      <c r="X56" s="1" t="n"/>
    </row>
    <row r="57" ht="18" customHeight="1" s="124">
      <c r="A57" s="54" t="n"/>
      <c r="B57" s="154" t="n">
        <v>45689</v>
      </c>
      <c r="D57" s="130" t="n"/>
      <c r="E57" s="181" t="inlineStr">
        <is>
          <t>Data Descriptors, Statistical Distributions, and Application to Business Decisions</t>
        </is>
      </c>
      <c r="F57" s="159" t="n"/>
      <c r="G57" s="159" t="n"/>
      <c r="H57" s="159" t="n"/>
      <c r="I57" s="159" t="n"/>
      <c r="J57" s="159" t="n"/>
      <c r="K57" s="159" t="n"/>
      <c r="L57" s="164" t="n"/>
      <c r="M57" s="177" t="n"/>
      <c r="N57" s="159" t="n"/>
      <c r="O57" s="160" t="n"/>
      <c r="P57" s="181" t="n"/>
      <c r="Q57" s="159" t="n"/>
      <c r="R57" s="159" t="n"/>
      <c r="S57" s="159" t="n"/>
      <c r="T57" s="159" t="n"/>
      <c r="U57" s="159" t="n"/>
      <c r="V57" s="159" t="n"/>
      <c r="W57" s="164" t="n"/>
      <c r="X57" s="1" t="n"/>
    </row>
    <row r="58" ht="18" customHeight="1" s="124">
      <c r="A58" s="54" t="n"/>
      <c r="B58" s="133" t="n"/>
      <c r="C58" s="134" t="n"/>
      <c r="D58" s="135" t="n"/>
      <c r="E58" s="152" t="n"/>
      <c r="F58" s="150" t="n"/>
      <c r="G58" s="150" t="n"/>
      <c r="H58" s="150" t="n"/>
      <c r="I58" s="150" t="n"/>
      <c r="J58" s="150" t="n"/>
      <c r="K58" s="150" t="n"/>
      <c r="L58" s="151" t="n"/>
      <c r="M58" s="149" t="n"/>
      <c r="N58" s="150" t="n"/>
      <c r="O58" s="153" t="n"/>
      <c r="P58" s="152" t="n"/>
      <c r="Q58" s="150" t="n"/>
      <c r="R58" s="150" t="n"/>
      <c r="S58" s="150" t="n"/>
      <c r="T58" s="150" t="n"/>
      <c r="U58" s="150" t="n"/>
      <c r="V58" s="150" t="n"/>
      <c r="W58" s="151" t="n"/>
      <c r="X58" s="1" t="n"/>
    </row>
    <row r="59" ht="18" customHeight="1" s="124">
      <c r="A59" s="54" t="n"/>
      <c r="B59" s="182" t="n"/>
      <c r="C59" s="159" t="n"/>
      <c r="D59" s="160" t="n"/>
      <c r="E59" s="181" t="n"/>
      <c r="F59" s="159" t="n"/>
      <c r="G59" s="159" t="n"/>
      <c r="H59" s="159" t="n"/>
      <c r="I59" s="159" t="n"/>
      <c r="J59" s="159" t="n"/>
      <c r="K59" s="159" t="n"/>
      <c r="L59" s="164" t="n"/>
      <c r="M59" s="177" t="n"/>
      <c r="N59" s="159" t="n"/>
      <c r="O59" s="160" t="n"/>
      <c r="P59" s="181" t="n"/>
      <c r="Q59" s="159" t="n"/>
      <c r="R59" s="159" t="n"/>
      <c r="S59" s="159" t="n"/>
      <c r="T59" s="159" t="n"/>
      <c r="U59" s="159" t="n"/>
      <c r="V59" s="159" t="n"/>
      <c r="W59" s="164" t="n"/>
      <c r="X59" s="1" t="n"/>
    </row>
    <row r="60" ht="18" customHeight="1" s="124">
      <c r="A60" s="54" t="n"/>
      <c r="B60" s="134" t="n"/>
      <c r="C60" s="134" t="n"/>
      <c r="D60" s="135" t="n"/>
      <c r="E60" s="152" t="n"/>
      <c r="F60" s="150" t="n"/>
      <c r="G60" s="150" t="n"/>
      <c r="H60" s="150" t="n"/>
      <c r="I60" s="150" t="n"/>
      <c r="J60" s="150" t="n"/>
      <c r="K60" s="150" t="n"/>
      <c r="L60" s="151" t="n"/>
      <c r="M60" s="149" t="n"/>
      <c r="N60" s="150" t="n"/>
      <c r="O60" s="153" t="n"/>
      <c r="P60" s="152" t="n"/>
      <c r="Q60" s="150" t="n"/>
      <c r="R60" s="150" t="n"/>
      <c r="S60" s="150" t="n"/>
      <c r="T60" s="150" t="n"/>
      <c r="U60" s="150" t="n"/>
      <c r="V60" s="150" t="n"/>
      <c r="W60" s="151" t="n"/>
      <c r="X60" s="1" t="n"/>
    </row>
    <row r="61" ht="18" customHeight="1" s="124">
      <c r="A61" s="54" t="n"/>
      <c r="B61" s="173" t="n"/>
      <c r="C61" s="159" t="n"/>
      <c r="D61" s="160" t="n"/>
      <c r="E61" s="183" t="n"/>
      <c r="L61" s="132" t="n"/>
      <c r="M61" s="171" t="n"/>
      <c r="O61" s="130" t="n"/>
      <c r="P61" s="183" t="n"/>
      <c r="W61" s="132" t="n"/>
      <c r="X61" s="1" t="n"/>
    </row>
    <row r="62" ht="18" customHeight="1" s="124">
      <c r="A62" s="54" t="n"/>
      <c r="B62" s="150" t="n"/>
      <c r="C62" s="150" t="n"/>
      <c r="D62" s="153" t="n"/>
      <c r="E62" s="152" t="n"/>
      <c r="F62" s="150" t="n"/>
      <c r="G62" s="150" t="n"/>
      <c r="H62" s="150" t="n"/>
      <c r="I62" s="150" t="n"/>
      <c r="J62" s="150" t="n"/>
      <c r="K62" s="150" t="n"/>
      <c r="L62" s="151" t="n"/>
      <c r="M62" s="149" t="n"/>
      <c r="N62" s="150" t="n"/>
      <c r="O62" s="153" t="n"/>
      <c r="P62" s="152" t="n"/>
      <c r="Q62" s="150" t="n"/>
      <c r="R62" s="150" t="n"/>
      <c r="S62" s="150" t="n"/>
      <c r="T62" s="150" t="n"/>
      <c r="U62" s="150" t="n"/>
      <c r="V62" s="150" t="n"/>
      <c r="W62" s="151" t="n"/>
      <c r="X62" s="1" t="n"/>
    </row>
    <row r="63" ht="18" customHeight="1" s="124">
      <c r="A63" s="54" t="n"/>
      <c r="B63" s="174" t="n"/>
      <c r="D63" s="130" t="n"/>
      <c r="E63" s="184" t="n"/>
      <c r="L63" s="132" t="n"/>
      <c r="M63" s="171" t="n"/>
      <c r="O63" s="130" t="n"/>
      <c r="P63" s="183" t="n"/>
      <c r="W63" s="132" t="n"/>
      <c r="X63" s="1" t="n"/>
    </row>
    <row r="64" ht="18" customHeight="1" s="124">
      <c r="A64" s="54" t="n"/>
      <c r="B64" s="150" t="n"/>
      <c r="C64" s="150" t="n"/>
      <c r="D64" s="153" t="n"/>
      <c r="E64" s="150" t="n"/>
      <c r="F64" s="150" t="n"/>
      <c r="G64" s="150" t="n"/>
      <c r="H64" s="150" t="n"/>
      <c r="I64" s="150" t="n"/>
      <c r="J64" s="150" t="n"/>
      <c r="K64" s="150" t="n"/>
      <c r="L64" s="151" t="n"/>
      <c r="M64" s="149" t="n"/>
      <c r="N64" s="150" t="n"/>
      <c r="O64" s="153" t="n"/>
      <c r="P64" s="152" t="n"/>
      <c r="Q64" s="150" t="n"/>
      <c r="R64" s="150" t="n"/>
      <c r="S64" s="150" t="n"/>
      <c r="T64" s="150" t="n"/>
      <c r="U64" s="150" t="n"/>
      <c r="V64" s="150" t="n"/>
      <c r="W64" s="151" t="n"/>
      <c r="X64" s="1" t="n"/>
    </row>
    <row r="65" ht="18" customHeight="1" s="124">
      <c r="A65" s="1" t="n"/>
      <c r="B65" s="154" t="n"/>
      <c r="D65" s="130" t="n"/>
      <c r="E65" s="180" t="n"/>
      <c r="L65" s="132" t="n"/>
      <c r="M65" s="154" t="n"/>
      <c r="O65" s="130" t="n"/>
      <c r="P65" s="180" t="n"/>
      <c r="W65" s="132" t="n"/>
      <c r="X65" s="1" t="n"/>
    </row>
    <row r="66" ht="18" customHeight="1" s="124">
      <c r="A66" s="1" t="n"/>
      <c r="B66" s="133" t="n"/>
      <c r="C66" s="134" t="n"/>
      <c r="D66" s="135" t="n"/>
      <c r="E66" s="134" t="n"/>
      <c r="F66" s="134" t="n"/>
      <c r="G66" s="134" t="n"/>
      <c r="H66" s="134" t="n"/>
      <c r="I66" s="134" t="n"/>
      <c r="J66" s="134" t="n"/>
      <c r="K66" s="134" t="n"/>
      <c r="L66" s="136" t="n"/>
      <c r="M66" s="133" t="n"/>
      <c r="N66" s="134" t="n"/>
      <c r="O66" s="135" t="n"/>
      <c r="P66" s="134" t="n"/>
      <c r="Q66" s="134" t="n"/>
      <c r="R66" s="134" t="n"/>
      <c r="S66" s="134" t="n"/>
      <c r="T66" s="134" t="n"/>
      <c r="U66" s="134" t="n"/>
      <c r="V66" s="134" t="n"/>
      <c r="W66" s="136" t="n"/>
      <c r="X66" s="1" t="n"/>
    </row>
    <row r="67" ht="18" customHeight="1" s="124">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row>
    <row r="68" ht="18" customHeight="1" s="124">
      <c r="A68" s="1" t="n"/>
      <c r="B68" s="148" t="inlineStr">
        <is>
          <t>自己PR</t>
        </is>
      </c>
      <c r="C68" s="138" t="n"/>
      <c r="D68" s="138" t="n"/>
      <c r="E68" s="138" t="n"/>
      <c r="F68" s="138" t="n"/>
      <c r="G68" s="138" t="n"/>
      <c r="H68" s="138" t="n"/>
      <c r="I68" s="138" t="n"/>
      <c r="J68" s="138" t="n"/>
      <c r="K68" s="138" t="n"/>
      <c r="L68" s="138" t="n"/>
      <c r="M68" s="138" t="n"/>
      <c r="N68" s="138" t="n"/>
      <c r="O68" s="138" t="n"/>
      <c r="P68" s="138" t="n"/>
      <c r="Q68" s="138" t="n"/>
      <c r="R68" s="138" t="n"/>
      <c r="S68" s="138" t="n"/>
      <c r="T68" s="138" t="n"/>
      <c r="U68" s="138" t="n"/>
      <c r="V68" s="138" t="n"/>
      <c r="W68" s="141" t="n"/>
      <c r="X68" s="1" t="n"/>
    </row>
    <row r="69" ht="18" customHeight="1" s="124">
      <c r="A69" s="1" t="n"/>
      <c r="B69" s="149" t="n"/>
      <c r="C69" s="150" t="n"/>
      <c r="D69" s="150" t="n"/>
      <c r="E69" s="150" t="n"/>
      <c r="F69" s="150" t="n"/>
      <c r="G69" s="150" t="n"/>
      <c r="H69" s="150" t="n"/>
      <c r="I69" s="150" t="n"/>
      <c r="J69" s="150" t="n"/>
      <c r="K69" s="150" t="n"/>
      <c r="L69" s="150" t="n"/>
      <c r="M69" s="150" t="n"/>
      <c r="N69" s="150" t="n"/>
      <c r="O69" s="150" t="n"/>
      <c r="P69" s="150" t="n"/>
      <c r="Q69" s="150" t="n"/>
      <c r="R69" s="150" t="n"/>
      <c r="S69" s="150" t="n"/>
      <c r="T69" s="150" t="n"/>
      <c r="U69" s="150" t="n"/>
      <c r="V69" s="150" t="n"/>
      <c r="W69" s="151" t="n"/>
      <c r="X69" s="1" t="n"/>
    </row>
    <row r="70" ht="18" customHeight="1" s="124">
      <c r="A70" s="1" t="n"/>
      <c r="B70" s="185" t="inlineStr">
        <is>
          <t>私は約4年の経験を持つデータエンジニア兼AI/MLエンジニアとして、エンドツーエンドのデータパイプライン構築とスケーラブルなMLOpsフレームワークの設計を専門としています 。特に、特に、データインフラをインテリジェントな自動化へと進化させることや、ワークフローを加速させるMLモデルの展開に注力しています。 。これまで通信業界（Telco）や消費者ブランドにおいて、データ主導の自動化された意思決定を推進する、インパクトの大きいシステムを提供してきた実績があります 。</t>
        </is>
      </c>
      <c r="C70" s="159" t="n"/>
      <c r="D70" s="159" t="n"/>
      <c r="E70" s="159" t="n"/>
      <c r="F70" s="159" t="n"/>
      <c r="G70" s="159" t="n"/>
      <c r="H70" s="159" t="n"/>
      <c r="I70" s="159" t="n"/>
      <c r="J70" s="159" t="n"/>
      <c r="K70" s="159" t="n"/>
      <c r="L70" s="159" t="n"/>
      <c r="M70" s="159" t="n"/>
      <c r="N70" s="159" t="n"/>
      <c r="O70" s="159" t="n"/>
      <c r="P70" s="159" t="n"/>
      <c r="Q70" s="159" t="n"/>
      <c r="R70" s="159" t="n"/>
      <c r="S70" s="159" t="n"/>
      <c r="T70" s="159" t="n"/>
      <c r="U70" s="159" t="n"/>
      <c r="V70" s="159" t="n"/>
      <c r="W70" s="164" t="n"/>
      <c r="X70" s="1" t="n"/>
    </row>
    <row r="71" ht="18" customHeight="1" s="124">
      <c r="A71" s="1" t="n"/>
      <c r="B71" s="186" t="n"/>
      <c r="W71" s="132" t="n"/>
      <c r="X71" s="1" t="n"/>
    </row>
    <row r="72" ht="18" customHeight="1" s="124">
      <c r="A72" s="1" t="n"/>
      <c r="B72" s="186" t="n"/>
      <c r="W72" s="132" t="n"/>
      <c r="X72" s="1" t="n"/>
    </row>
    <row r="73" ht="18" customHeight="1" s="124">
      <c r="A73" s="1" t="n"/>
      <c r="B73" s="186" t="n"/>
      <c r="W73" s="132" t="n"/>
      <c r="X73" s="1" t="n"/>
    </row>
    <row r="74" ht="18" customHeight="1" s="124">
      <c r="A74" s="1" t="n"/>
      <c r="B74" s="186" t="n"/>
      <c r="W74" s="132" t="n"/>
      <c r="X74" s="1" t="n"/>
    </row>
    <row r="75" ht="18" customHeight="1" s="124">
      <c r="A75" s="1" t="n"/>
      <c r="B75" s="186" t="n"/>
      <c r="W75" s="132" t="n"/>
      <c r="X75" s="1" t="n"/>
    </row>
    <row r="76" ht="18" customHeight="1" s="124">
      <c r="A76" s="1" t="n"/>
      <c r="B76" s="133" t="n"/>
      <c r="C76" s="134" t="n"/>
      <c r="D76" s="134" t="n"/>
      <c r="E76" s="134" t="n"/>
      <c r="F76" s="134" t="n"/>
      <c r="G76" s="134" t="n"/>
      <c r="H76" s="134" t="n"/>
      <c r="I76" s="134" t="n"/>
      <c r="J76" s="134" t="n"/>
      <c r="K76" s="134" t="n"/>
      <c r="L76" s="134" t="n"/>
      <c r="M76" s="134" t="n"/>
      <c r="N76" s="134" t="n"/>
      <c r="O76" s="134" t="n"/>
      <c r="P76" s="134" t="n"/>
      <c r="Q76" s="134" t="n"/>
      <c r="R76" s="134" t="n"/>
      <c r="S76" s="134" t="n"/>
      <c r="T76" s="134" t="n"/>
      <c r="U76" s="134" t="n"/>
      <c r="V76" s="134" t="n"/>
      <c r="W76" s="136" t="n"/>
      <c r="X76" s="1" t="n"/>
    </row>
    <row r="77" ht="18" customHeight="1" s="124">
      <c r="A77" s="1" t="n"/>
      <c r="B77" s="64" t="n"/>
      <c r="C77" s="64" t="n"/>
      <c r="D77" s="64" t="n"/>
      <c r="E77" s="64" t="n"/>
      <c r="F77" s="64" t="n"/>
      <c r="G77" s="64" t="n"/>
      <c r="H77" s="64" t="n"/>
      <c r="I77" s="64" t="n"/>
      <c r="J77" s="64" t="n"/>
      <c r="K77" s="64" t="n"/>
      <c r="L77" s="64" t="n"/>
      <c r="M77" s="64" t="n"/>
      <c r="N77" s="64" t="n"/>
      <c r="O77" s="64" t="n"/>
      <c r="P77" s="64" t="n"/>
      <c r="Q77" s="64" t="n"/>
      <c r="R77" s="64" t="n"/>
      <c r="S77" s="64" t="n"/>
      <c r="T77" s="64" t="n"/>
      <c r="U77" s="64" t="n"/>
      <c r="V77" s="64" t="n"/>
      <c r="W77" s="65" t="n"/>
      <c r="X77" s="1" t="n"/>
    </row>
    <row r="78" ht="18" customHeight="1" s="124">
      <c r="A78" s="1" t="n"/>
      <c r="B78" s="148" t="inlineStr">
        <is>
          <t>希望条件</t>
        </is>
      </c>
      <c r="C78" s="138" t="n"/>
      <c r="D78" s="138" t="n"/>
      <c r="E78" s="138" t="n"/>
      <c r="F78" s="138" t="n"/>
      <c r="G78" s="138" t="n"/>
      <c r="H78" s="138" t="n"/>
      <c r="I78" s="138" t="n"/>
      <c r="J78" s="138" t="n"/>
      <c r="K78" s="138" t="n"/>
      <c r="L78" s="138" t="n"/>
      <c r="M78" s="138" t="n"/>
      <c r="N78" s="138" t="n"/>
      <c r="O78" s="138" t="n"/>
      <c r="P78" s="138" t="n"/>
      <c r="Q78" s="138" t="n"/>
      <c r="R78" s="138" t="n"/>
      <c r="S78" s="138" t="n"/>
      <c r="T78" s="138" t="n"/>
      <c r="U78" s="138" t="n"/>
      <c r="V78" s="138" t="n"/>
      <c r="W78" s="141" t="n"/>
      <c r="X78" s="1" t="n"/>
    </row>
    <row r="79" ht="18" customHeight="1" s="124">
      <c r="A79" s="1" t="n"/>
      <c r="B79" s="149" t="n"/>
      <c r="C79" s="150" t="n"/>
      <c r="D79" s="150" t="n"/>
      <c r="E79" s="150" t="n"/>
      <c r="F79" s="150" t="n"/>
      <c r="G79" s="150" t="n"/>
      <c r="H79" s="150" t="n"/>
      <c r="I79" s="150" t="n"/>
      <c r="J79" s="150" t="n"/>
      <c r="K79" s="150" t="n"/>
      <c r="L79" s="150" t="n"/>
      <c r="M79" s="150" t="n"/>
      <c r="N79" s="150" t="n"/>
      <c r="O79" s="150" t="n"/>
      <c r="P79" s="150" t="n"/>
      <c r="Q79" s="150" t="n"/>
      <c r="R79" s="150" t="n"/>
      <c r="S79" s="150" t="n"/>
      <c r="T79" s="150" t="n"/>
      <c r="U79" s="150" t="n"/>
      <c r="V79" s="150" t="n"/>
      <c r="W79" s="151" t="n"/>
      <c r="X79" s="1" t="n"/>
    </row>
    <row r="80" ht="18" customHeight="1" s="124">
      <c r="A80" s="1" t="n"/>
      <c r="B80" s="187" t="inlineStr">
        <is>
          <t>雇用形態</t>
        </is>
      </c>
      <c r="C80" s="150" t="n"/>
      <c r="D80" s="153" t="n"/>
      <c r="E80" s="183" t="inlineStr">
        <is>
          <t>正社員</t>
        </is>
      </c>
      <c r="F80" s="150" t="n"/>
      <c r="G80" s="150" t="n"/>
      <c r="H80" s="150" t="n"/>
      <c r="I80" s="150" t="n"/>
      <c r="J80" s="150" t="n"/>
      <c r="K80" s="150" t="n"/>
      <c r="L80" s="150" t="n"/>
      <c r="M80" s="150" t="n"/>
      <c r="N80" s="150" t="n"/>
      <c r="O80" s="150" t="n"/>
      <c r="P80" s="150" t="n"/>
      <c r="Q80" s="150" t="n"/>
      <c r="R80" s="150" t="n"/>
      <c r="S80" s="150" t="n"/>
      <c r="T80" s="150" t="n"/>
      <c r="U80" s="150" t="n"/>
      <c r="V80" s="150" t="n"/>
      <c r="W80" s="151" t="n"/>
      <c r="X80" s="1" t="n"/>
    </row>
    <row r="81" ht="18" customHeight="1" s="124">
      <c r="A81" s="1" t="n"/>
      <c r="B81" s="188" t="inlineStr">
        <is>
          <t>給料</t>
        </is>
      </c>
      <c r="C81" s="189" t="n"/>
      <c r="D81" s="190" t="n"/>
      <c r="E81" s="181" t="inlineStr">
        <is>
          <t>年収 600万円 〜 800万円</t>
        </is>
      </c>
      <c r="F81" s="189" t="n"/>
      <c r="G81" s="189" t="n"/>
      <c r="H81" s="189" t="n"/>
      <c r="I81" s="189" t="n"/>
      <c r="J81" s="189" t="n"/>
      <c r="K81" s="189" t="n"/>
      <c r="L81" s="189" t="n"/>
      <c r="M81" s="189" t="n"/>
      <c r="N81" s="189" t="n"/>
      <c r="O81" s="189" t="n"/>
      <c r="P81" s="189" t="n"/>
      <c r="Q81" s="189" t="n"/>
      <c r="R81" s="189" t="n"/>
      <c r="S81" s="189" t="n"/>
      <c r="T81" s="189" t="n"/>
      <c r="U81" s="189" t="n"/>
      <c r="V81" s="189" t="n"/>
      <c r="W81" s="191" t="n"/>
      <c r="X81" s="1" t="n"/>
    </row>
    <row r="82" ht="18" customHeight="1" s="124">
      <c r="A82" s="1" t="n"/>
      <c r="B82" s="188" t="inlineStr">
        <is>
          <t>勤務地</t>
        </is>
      </c>
      <c r="C82" s="189" t="n"/>
      <c r="D82" s="190" t="n"/>
      <c r="E82" s="181" t="inlineStr">
        <is>
          <t>貴社の規定に従います（希望勤務地：東京近郊）</t>
        </is>
      </c>
      <c r="F82" s="189" t="n"/>
      <c r="G82" s="189" t="n"/>
      <c r="H82" s="189" t="n"/>
      <c r="I82" s="189" t="n"/>
      <c r="J82" s="189" t="n"/>
      <c r="K82" s="189" t="n"/>
      <c r="L82" s="189" t="n"/>
      <c r="M82" s="189" t="n"/>
      <c r="N82" s="189" t="n"/>
      <c r="O82" s="189" t="n"/>
      <c r="P82" s="189" t="n"/>
      <c r="Q82" s="189" t="n"/>
      <c r="R82" s="189" t="n"/>
      <c r="S82" s="189" t="n"/>
      <c r="T82" s="189" t="n"/>
      <c r="U82" s="189" t="n"/>
      <c r="V82" s="189" t="n"/>
      <c r="W82" s="191" t="n"/>
      <c r="X82" s="1" t="n"/>
    </row>
    <row r="83" ht="18" customHeight="1" s="124">
      <c r="A83" s="1" t="n"/>
      <c r="B83" s="188" t="inlineStr">
        <is>
          <t>職種</t>
        </is>
      </c>
      <c r="C83" s="189" t="n"/>
      <c r="D83" s="190" t="n"/>
      <c r="E83" s="28" t="inlineStr">
        <is>
          <t>データエンジニア / ML Ops / AI エンジニア</t>
        </is>
      </c>
      <c r="F83" s="73" t="n"/>
      <c r="G83" s="73" t="n"/>
      <c r="H83" s="73" t="n"/>
      <c r="I83" s="73" t="n"/>
      <c r="J83" s="73" t="n"/>
      <c r="K83" s="73" t="n"/>
      <c r="L83" s="73" t="n"/>
      <c r="M83" s="73" t="n"/>
      <c r="N83" s="73" t="n"/>
      <c r="O83" s="73" t="n"/>
      <c r="P83" s="73" t="n"/>
      <c r="Q83" s="73" t="n"/>
      <c r="R83" s="73" t="n"/>
      <c r="S83" s="73" t="n"/>
      <c r="T83" s="73" t="n"/>
      <c r="U83" s="73" t="n"/>
      <c r="V83" s="73" t="n"/>
      <c r="W83" s="74" t="n"/>
      <c r="X83" s="1" t="n"/>
    </row>
    <row r="84" ht="18" customHeight="1" s="124">
      <c r="A84" s="1" t="n"/>
      <c r="B84" s="188" t="inlineStr">
        <is>
          <t>業務内容</t>
        </is>
      </c>
      <c r="C84" s="189" t="n"/>
      <c r="D84" s="190" t="n"/>
      <c r="E84" s="181" t="inlineStr">
        <is>
          <t>データパイプライン構築、AI/MLモデルの実装・運用</t>
        </is>
      </c>
      <c r="F84" s="189" t="n"/>
      <c r="G84" s="189" t="n"/>
      <c r="H84" s="189" t="n"/>
      <c r="I84" s="189" t="n"/>
      <c r="J84" s="189" t="n"/>
      <c r="K84" s="189" t="n"/>
      <c r="L84" s="189" t="n"/>
      <c r="M84" s="189" t="n"/>
      <c r="N84" s="189" t="n"/>
      <c r="O84" s="189" t="n"/>
      <c r="P84" s="189" t="n"/>
      <c r="Q84" s="189" t="n"/>
      <c r="R84" s="189" t="n"/>
      <c r="S84" s="189" t="n"/>
      <c r="T84" s="189" t="n"/>
      <c r="U84" s="189" t="n"/>
      <c r="V84" s="189" t="n"/>
      <c r="W84" s="191" t="n"/>
      <c r="X84" s="1" t="n"/>
    </row>
    <row r="85" ht="18" customHeight="1" s="124">
      <c r="A85" s="1" t="n"/>
      <c r="B85" s="192" t="inlineStr">
        <is>
          <t>その他</t>
        </is>
      </c>
      <c r="C85" s="159" t="n"/>
      <c r="D85" s="160" t="n"/>
      <c r="E85" s="193" t="inlineStr">
        <is>
          <t>日本での就労ビザのスポンサーシップを希望いたします。現在はインドネシアに在住しておりますが、採用が決定次第、日本への入国・転居が可能です。面接はオンライン（Zoom/Google Meet等）での実施を希望いたします。</t>
        </is>
      </c>
      <c r="F85" s="159" t="n"/>
      <c r="G85" s="159" t="n"/>
      <c r="H85" s="159" t="n"/>
      <c r="I85" s="159" t="n"/>
      <c r="J85" s="159" t="n"/>
      <c r="K85" s="159" t="n"/>
      <c r="L85" s="159" t="n"/>
      <c r="M85" s="159" t="n"/>
      <c r="N85" s="159" t="n"/>
      <c r="O85" s="159" t="n"/>
      <c r="P85" s="159" t="n"/>
      <c r="Q85" s="159" t="n"/>
      <c r="R85" s="159" t="n"/>
      <c r="S85" s="159" t="n"/>
      <c r="T85" s="159" t="n"/>
      <c r="U85" s="159" t="n"/>
      <c r="V85" s="159" t="n"/>
      <c r="W85" s="164" t="n"/>
      <c r="X85" s="1" t="n"/>
    </row>
    <row r="86" ht="18" customHeight="1" s="124">
      <c r="A86" s="1" t="n"/>
      <c r="B86" s="133" t="n"/>
      <c r="C86" s="134" t="n"/>
      <c r="D86" s="135" t="n"/>
      <c r="E86" s="170" t="n"/>
      <c r="F86" s="134" t="n"/>
      <c r="G86" s="134" t="n"/>
      <c r="H86" s="134" t="n"/>
      <c r="I86" s="134" t="n"/>
      <c r="J86" s="134" t="n"/>
      <c r="K86" s="134" t="n"/>
      <c r="L86" s="134" t="n"/>
      <c r="M86" s="134" t="n"/>
      <c r="N86" s="134" t="n"/>
      <c r="O86" s="134" t="n"/>
      <c r="P86" s="134" t="n"/>
      <c r="Q86" s="134" t="n"/>
      <c r="R86" s="134" t="n"/>
      <c r="S86" s="134" t="n"/>
      <c r="T86" s="134" t="n"/>
      <c r="U86" s="134" t="n"/>
      <c r="V86" s="134" t="n"/>
      <c r="W86" s="136" t="n"/>
      <c r="X86" s="1" t="n"/>
    </row>
    <row r="87" ht="18" customHeight="1" s="124">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row>
    <row r="88" ht="18" customHeight="1" s="124">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row>
    <row r="89" ht="18" customHeight="1" s="124">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row>
    <row r="90" ht="18" customHeight="1" s="124">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row>
    <row r="91" ht="18" customHeight="1" s="124">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row>
    <row r="92" ht="18" customHeight="1" s="124">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row>
    <row r="93" ht="18" customHeight="1" s="124">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row>
    <row r="94" ht="18" customHeight="1" s="124">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row>
    <row r="95" ht="18" customHeight="1" s="124">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row>
    <row r="96" ht="18" customHeight="1" s="124">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row>
    <row r="97" ht="18" customHeight="1" s="124">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row>
    <row r="98" ht="18" customHeight="1" s="124">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row>
    <row r="99" ht="18" customHeight="1" s="124">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row>
    <row r="100" ht="18" customHeight="1" s="124">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row>
    <row r="101" ht="18" customHeight="1" s="124">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row>
    <row r="102" ht="18" customHeight="1" s="124">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row>
    <row r="103" ht="18" customHeight="1" s="124">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row>
    <row r="104" ht="18" customHeight="1" s="124">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row>
    <row r="105" ht="18" customHeight="1" s="124">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row>
    <row r="106" ht="18" customHeight="1" s="124">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row>
    <row r="107" ht="18" customHeight="1" s="12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18" customHeight="1" s="124">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row>
    <row r="109" ht="18" customHeight="1" s="124">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row>
    <row r="110" ht="18" customHeight="1" s="124">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row>
    <row r="111" ht="18" customHeight="1" s="124">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row>
    <row r="112" ht="18" customHeight="1" s="124">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row>
    <row r="113" ht="18" customHeight="1" s="124">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row>
    <row r="114" ht="18" customHeight="1" s="124">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row>
    <row r="115" ht="18" customHeight="1" s="124">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row>
    <row r="116" ht="18" customHeight="1" s="124">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row>
    <row r="117" ht="18" customHeight="1" s="124">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row>
    <row r="118" ht="18" customHeight="1" s="124">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row>
    <row r="119" ht="18" customHeight="1" s="124">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row>
    <row r="120" ht="18" customHeight="1" s="124">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row>
    <row r="121" ht="18" customHeight="1" s="124">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row>
    <row r="122" ht="18" customHeight="1" s="124">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row>
    <row r="123" ht="18" customHeight="1" s="124">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row>
    <row r="124" ht="18" customHeight="1" s="124">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row>
    <row r="125" ht="18" customHeight="1" s="124">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row>
    <row r="126" ht="18" customHeight="1" s="124">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row>
    <row r="127" ht="18" customHeight="1" s="124">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row>
    <row r="128" ht="18" customHeight="1" s="124">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row>
    <row r="129" ht="18" customHeight="1" s="124">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row>
    <row r="130" ht="18" customHeight="1" s="124">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row>
    <row r="131" ht="18" customHeight="1" s="124">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row>
    <row r="132" ht="18" customHeight="1" s="124">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row>
    <row r="133" ht="18" customHeight="1" s="124">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row>
    <row r="134" ht="18" customHeight="1" s="124">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row>
    <row r="135" ht="18" customHeight="1" s="124">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row>
    <row r="136" ht="18" customHeight="1" s="124">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row>
    <row r="137" ht="18" customHeight="1" s="124">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row>
    <row r="138" ht="18" customHeight="1" s="124">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row>
    <row r="139" ht="18" customHeight="1" s="124">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row>
    <row r="140" ht="18" customHeight="1" s="124">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row>
    <row r="141" ht="18" customHeight="1" s="124">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row>
    <row r="142" ht="18" customHeight="1" s="124">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row>
    <row r="143" ht="18" customHeight="1" s="124">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row>
    <row r="144" ht="18" customHeight="1" s="124">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row>
    <row r="145" ht="18" customHeight="1" s="124">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row>
    <row r="146" ht="18" customHeight="1" s="12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18" customHeight="1" s="124">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row>
    <row r="148" ht="18" customHeight="1" s="124">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row>
    <row r="149" ht="18" customHeight="1" s="124">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row>
    <row r="150" ht="18" customHeight="1" s="124">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row>
    <row r="151" ht="18" customHeight="1" s="124">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row>
    <row r="152" ht="18" customHeight="1" s="124">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row>
    <row r="153" ht="18" customHeight="1" s="124">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row>
    <row r="154" ht="18" customHeight="1" s="124">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row>
    <row r="155" ht="18" customHeight="1" s="124">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row>
    <row r="156" ht="18" customHeight="1" s="124">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row>
    <row r="157" ht="18" customHeight="1" s="124">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row>
    <row r="158" ht="18" customHeight="1" s="124">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row>
    <row r="159" ht="18" customHeight="1" s="124">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row>
    <row r="160" ht="18" customHeight="1" s="124">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row>
    <row r="161" ht="18" customHeight="1" s="124">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row>
    <row r="162" ht="18" customHeight="1" s="124">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row>
    <row r="163" ht="18" customHeight="1" s="124">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row>
    <row r="164" ht="18" customHeight="1" s="124">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row>
    <row r="165" ht="18" customHeight="1" s="124">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row>
    <row r="166" ht="18" customHeight="1" s="124">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row>
    <row r="167" ht="18" customHeight="1" s="124">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row>
    <row r="168" ht="18" customHeight="1" s="124">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row>
    <row r="169" ht="18" customHeight="1" s="124">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row>
    <row r="170" ht="18" customHeight="1" s="124">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row>
    <row r="171" ht="18" customHeight="1" s="124">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row>
    <row r="172" ht="18" customHeight="1" s="124">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row>
    <row r="173" ht="18" customHeight="1" s="124">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row>
    <row r="174" ht="18" customHeight="1" s="12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18" customHeight="1" s="124">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row>
    <row r="176" ht="18" customHeight="1" s="124">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row>
    <row r="177" ht="18" customHeight="1" s="124">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row>
    <row r="178" ht="18" customHeight="1" s="124">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row>
    <row r="179" ht="18" customHeight="1" s="124">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row>
    <row r="180" ht="18" customHeight="1" s="124">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row>
    <row r="181" ht="18" customHeight="1" s="124">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row>
    <row r="182" ht="18" customHeight="1" s="124">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row>
    <row r="183" ht="18" customHeight="1" s="124">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row>
    <row r="184" ht="18" customHeight="1" s="124">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row>
    <row r="185" ht="18" customHeight="1" s="124">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row>
    <row r="186" ht="18" customHeight="1" s="124">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row>
    <row r="187" ht="18" customHeight="1" s="124">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row>
    <row r="188" ht="18" customHeight="1" s="124">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row>
    <row r="189" ht="18" customHeight="1" s="124">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row>
    <row r="190" ht="18" customHeight="1" s="124">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row>
    <row r="191" ht="18" customHeight="1" s="124">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row>
    <row r="192" ht="18" customHeight="1" s="124">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row>
    <row r="193" ht="18" customHeight="1" s="124">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row>
    <row r="194" ht="18" customHeight="1" s="124">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row>
    <row r="195" ht="18" customHeight="1" s="124">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row>
    <row r="196" ht="18" customHeight="1" s="124">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row>
    <row r="197" ht="18" customHeight="1" s="124">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row>
    <row r="198" ht="18" customHeight="1" s="124">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row>
    <row r="199" ht="18" customHeight="1" s="124">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row>
    <row r="200" ht="18" customHeight="1" s="124">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row>
    <row r="201" ht="18" customHeight="1" s="124">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row>
    <row r="202" ht="18" customHeight="1" s="124">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row>
    <row r="203" ht="18" customHeight="1" s="124">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row>
    <row r="204" ht="18" customHeight="1" s="12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row>
    <row r="205" ht="18" customHeight="1" s="124">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row>
    <row r="206" ht="18" customHeight="1" s="124">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row>
    <row r="207" ht="18" customHeight="1" s="124">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row>
    <row r="208" ht="18" customHeight="1" s="124">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row>
    <row r="209" ht="18" customHeight="1" s="124">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row>
    <row r="210" ht="18" customHeight="1" s="124">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row>
    <row r="211" ht="18" customHeight="1" s="124">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row>
    <row r="212" ht="18" customHeight="1" s="124">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row>
    <row r="213" ht="18" customHeight="1" s="124">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row>
    <row r="214" ht="18" customHeight="1" s="12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row>
    <row r="215" ht="18" customHeight="1" s="124">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row>
    <row r="216" ht="18" customHeight="1" s="124">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row>
    <row r="217" ht="18" customHeight="1" s="124">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row>
    <row r="218" ht="18" customHeight="1" s="124">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row>
    <row r="219" ht="18" customHeight="1" s="124">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row>
    <row r="220" ht="18" customHeight="1" s="124">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row>
    <row r="221" ht="18" customHeight="1" s="124">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row>
    <row r="222" ht="18" customHeight="1" s="124">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row>
    <row r="223" ht="18" customHeight="1" s="124">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row>
    <row r="224" ht="18" customHeight="1" s="1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row>
    <row r="225" ht="18" customHeight="1" s="124">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row>
    <row r="226" ht="18" customHeight="1" s="124">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row>
    <row r="227" ht="18" customHeight="1" s="124">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row>
    <row r="228" ht="18" customHeight="1" s="124">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row>
    <row r="229" ht="18" customHeight="1" s="124">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row>
    <row r="230" ht="18" customHeight="1" s="124">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row>
    <row r="231" ht="18" customHeight="1" s="124">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row>
    <row r="232" ht="18" customHeight="1" s="124">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row>
    <row r="233" ht="18" customHeight="1" s="124">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row>
    <row r="234" ht="18" customHeight="1" s="12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row>
    <row r="235" ht="18" customHeight="1" s="124">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row>
    <row r="236" ht="18" customHeight="1" s="124">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row>
    <row r="237" ht="18" customHeight="1" s="124">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row>
    <row r="238" ht="18" customHeight="1" s="124">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row>
    <row r="239" ht="18" customHeight="1" s="124">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row>
    <row r="240" ht="18" customHeight="1" s="124">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row>
    <row r="241" ht="18" customHeight="1" s="124">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row>
    <row r="242" ht="18" customHeight="1" s="124">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row>
    <row r="243" ht="18" customHeight="1" s="124">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row>
    <row r="244" ht="18" customHeight="1" s="12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row>
    <row r="245" ht="18" customHeight="1" s="124">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row>
    <row r="246" ht="18" customHeight="1" s="124">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row>
    <row r="247" ht="18" customHeight="1" s="124">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row>
    <row r="248" ht="18" customHeight="1" s="124">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row>
    <row r="249" ht="18" customHeight="1" s="124">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row>
    <row r="250" ht="18" customHeight="1" s="124">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row>
    <row r="251" ht="18" customHeight="1" s="124">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row>
    <row r="252" ht="18" customHeight="1" s="124">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row>
    <row r="253" ht="18" customHeight="1" s="124">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row>
    <row r="254" ht="18" customHeight="1" s="12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row>
    <row r="255" ht="18" customHeight="1" s="124">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row>
    <row r="256" ht="18" customHeight="1" s="124">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row>
    <row r="257" ht="18" customHeight="1" s="124">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row>
    <row r="258" ht="18" customHeight="1" s="124">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row>
    <row r="259" ht="18" customHeight="1" s="124">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row>
    <row r="260" ht="18" customHeight="1" s="124">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row>
    <row r="261" ht="18" customHeight="1" s="124">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row>
    <row r="262" ht="18" customHeight="1" s="124">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row>
    <row r="263" ht="18" customHeight="1" s="124">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row>
    <row r="264" ht="18" customHeight="1" s="12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row>
    <row r="265" ht="18" customHeight="1" s="124">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row>
    <row r="266" ht="18" customHeight="1" s="124">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row>
    <row r="267" ht="18" customHeight="1" s="124">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row>
    <row r="268" ht="18" customHeight="1" s="124">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row>
    <row r="269" ht="18" customHeight="1" s="124">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row>
    <row r="270" ht="18" customHeight="1" s="124">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row>
    <row r="271" ht="18" customHeight="1" s="124">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row>
    <row r="272" ht="18" customHeight="1" s="124">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row>
    <row r="273" ht="18" customHeight="1" s="124">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row>
    <row r="274" ht="18" customHeight="1" s="12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row>
    <row r="275" ht="18" customHeight="1" s="124">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row>
    <row r="276" ht="18" customHeight="1" s="124">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row>
    <row r="277" ht="18" customHeight="1" s="124">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row>
    <row r="278" ht="18" customHeight="1" s="124">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row>
    <row r="279" ht="18" customHeight="1" s="124">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row>
    <row r="280" ht="18" customHeight="1" s="124">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row>
    <row r="281" ht="18" customHeight="1" s="124">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row>
    <row r="282" ht="18" customHeight="1" s="124">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row>
    <row r="283" ht="18" customHeight="1" s="124">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row>
    <row r="284" ht="18" customHeight="1" s="12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row>
    <row r="285" ht="18" customHeight="1" s="124">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row>
    <row r="286" ht="15.75" customHeight="1" s="124"/>
    <row r="287" ht="15.75" customHeight="1" s="124"/>
    <row r="288" ht="15.75" customHeight="1" s="124"/>
    <row r="289" ht="15.75" customHeight="1" s="124"/>
    <row r="290" ht="15.75" customHeight="1" s="124"/>
    <row r="291" ht="15.75" customHeight="1" s="124"/>
    <row r="292" ht="15.75" customHeight="1" s="124"/>
    <row r="293" ht="15.75" customHeight="1" s="124"/>
    <row r="294" ht="15.75" customHeight="1" s="124"/>
    <row r="295" ht="15.75" customHeight="1" s="124"/>
    <row r="296" ht="15.75" customHeight="1" s="124"/>
    <row r="297" ht="15.75" customHeight="1" s="124"/>
    <row r="298" ht="15.75" customHeight="1" s="124"/>
    <row r="299" ht="15.75" customHeight="1" s="124"/>
    <row r="300" ht="15.75" customHeight="1" s="124"/>
    <row r="301" ht="15.75" customHeight="1" s="124"/>
    <row r="302" ht="15.75" customHeight="1" s="124"/>
    <row r="303" ht="15.75" customHeight="1" s="124"/>
    <row r="304" ht="15.75" customHeight="1" s="124"/>
    <row r="305" ht="15.75" customHeight="1" s="124"/>
    <row r="306" ht="15.75" customHeight="1" s="124"/>
    <row r="307" ht="15.75" customHeight="1" s="124"/>
    <row r="308" ht="15.75" customHeight="1" s="124"/>
    <row r="309" ht="15.75" customHeight="1" s="124"/>
    <row r="310" ht="15.75" customHeight="1" s="124"/>
    <row r="311" ht="15.75" customHeight="1" s="124"/>
    <row r="312" ht="15.75" customHeight="1" s="124"/>
    <row r="313" ht="15.75" customHeight="1" s="124"/>
    <row r="314" ht="15.75" customHeight="1" s="124"/>
    <row r="315" ht="15.75" customHeight="1" s="124"/>
    <row r="316" ht="15.75" customHeight="1" s="124"/>
    <row r="317" ht="15.75" customHeight="1" s="124"/>
    <row r="318" ht="15.75" customHeight="1" s="124"/>
    <row r="319" ht="15.75" customHeight="1" s="124"/>
    <row r="320" ht="15.75" customHeight="1" s="124"/>
    <row r="321" ht="15.75" customHeight="1" s="124"/>
    <row r="322" ht="15.75" customHeight="1" s="124"/>
    <row r="323" ht="15.75" customHeight="1" s="124"/>
    <row r="324" ht="15.75" customHeight="1" s="124"/>
    <row r="325" ht="15.75" customHeight="1" s="124"/>
    <row r="326" ht="15.75" customHeight="1" s="124"/>
    <row r="327" ht="15.75" customHeight="1" s="124"/>
    <row r="328" ht="15.75" customHeight="1" s="124"/>
    <row r="329" ht="15.75" customHeight="1" s="124"/>
    <row r="330" ht="15.75" customHeight="1" s="124"/>
    <row r="331" ht="15.75" customHeight="1" s="124"/>
    <row r="332" ht="15.75" customHeight="1" s="124"/>
    <row r="333" ht="15.75" customHeight="1" s="124"/>
    <row r="334" ht="15.75" customHeight="1" s="124"/>
    <row r="335" ht="15.75" customHeight="1" s="124"/>
    <row r="336" ht="15.75" customHeight="1" s="124"/>
    <row r="337" ht="15.75" customHeight="1" s="124"/>
    <row r="338" ht="15.75" customHeight="1" s="124"/>
    <row r="339" ht="15.75" customHeight="1" s="124"/>
    <row r="340" ht="15.75" customHeight="1" s="124"/>
    <row r="341" ht="15.75" customHeight="1" s="124"/>
    <row r="342" ht="15.75" customHeight="1" s="124"/>
    <row r="343" ht="15.75" customHeight="1" s="124"/>
    <row r="344" ht="15.75" customHeight="1" s="124"/>
    <row r="345" ht="15.75" customHeight="1" s="124"/>
    <row r="346" ht="15.75" customHeight="1" s="124"/>
    <row r="347" ht="15.75" customHeight="1" s="124"/>
    <row r="348" ht="15.75" customHeight="1" s="124"/>
    <row r="349" ht="15.75" customHeight="1" s="124"/>
    <row r="350" ht="15.75" customHeight="1" s="124"/>
    <row r="351" ht="15.75" customHeight="1" s="124"/>
    <row r="352" ht="15.75" customHeight="1" s="124"/>
    <row r="353" ht="15.75" customHeight="1" s="124"/>
    <row r="354" ht="15.75" customHeight="1" s="124"/>
    <row r="355" ht="15.75" customHeight="1" s="124"/>
    <row r="356" ht="15.75" customHeight="1" s="124"/>
    <row r="357" ht="15.75" customHeight="1" s="124"/>
    <row r="358" ht="15.75" customHeight="1" s="124"/>
    <row r="359" ht="15.75" customHeight="1" s="124"/>
    <row r="360" ht="15.75" customHeight="1" s="124"/>
    <row r="361" ht="15.75" customHeight="1" s="124"/>
    <row r="362" ht="15.75" customHeight="1" s="124"/>
    <row r="363" ht="15.75" customHeight="1" s="124"/>
    <row r="364" ht="15.75" customHeight="1" s="124"/>
    <row r="365" ht="15.75" customHeight="1" s="124"/>
    <row r="366" ht="15.75" customHeight="1" s="124"/>
    <row r="367" ht="15.75" customHeight="1" s="124"/>
    <row r="368" ht="15.75" customHeight="1" s="124"/>
    <row r="369" ht="15.75" customHeight="1" s="124"/>
    <row r="370" ht="15.75" customHeight="1" s="124"/>
    <row r="371" ht="15.75" customHeight="1" s="124"/>
    <row r="372" ht="15.75" customHeight="1" s="124"/>
    <row r="373" ht="15.75" customHeight="1" s="124"/>
    <row r="374" ht="15.75" customHeight="1" s="124"/>
    <row r="375" ht="15.75" customHeight="1" s="124"/>
    <row r="376" ht="15.75" customHeight="1" s="124"/>
    <row r="377" ht="15.75" customHeight="1" s="124"/>
    <row r="378" ht="15.75" customHeight="1" s="124"/>
    <row r="379" ht="15.75" customHeight="1" s="124"/>
    <row r="380" ht="15.75" customHeight="1" s="124"/>
    <row r="381" ht="15.75" customHeight="1" s="124"/>
    <row r="382" ht="15.75" customHeight="1" s="124"/>
    <row r="383" ht="15.75" customHeight="1" s="124"/>
    <row r="384" ht="15.75" customHeight="1" s="124"/>
    <row r="385" ht="15.75" customHeight="1" s="124"/>
    <row r="386" ht="15.75" customHeight="1" s="124"/>
    <row r="387" ht="15.75" customHeight="1" s="124"/>
    <row r="388" ht="15.75" customHeight="1" s="124"/>
    <row r="389" ht="15.75" customHeight="1" s="124"/>
    <row r="390" ht="15.75" customHeight="1" s="124"/>
    <row r="391" ht="15.75" customHeight="1" s="124"/>
    <row r="392" ht="15.75" customHeight="1" s="124"/>
    <row r="393" ht="15.75" customHeight="1" s="124"/>
    <row r="394" ht="15.75" customHeight="1" s="124"/>
    <row r="395" ht="15.75" customHeight="1" s="124"/>
    <row r="396" ht="15.75" customHeight="1" s="124"/>
    <row r="397" ht="15.75" customHeight="1" s="124"/>
    <row r="398" ht="15.75" customHeight="1" s="124"/>
    <row r="399" ht="15.75" customHeight="1" s="124"/>
    <row r="400" ht="15.75" customHeight="1" s="124"/>
    <row r="401" ht="15.75" customHeight="1" s="124"/>
    <row r="402" ht="15.75" customHeight="1" s="124"/>
    <row r="403" ht="15.75" customHeight="1" s="124"/>
    <row r="404" ht="15.75" customHeight="1" s="124"/>
    <row r="405" ht="15.75" customHeight="1" s="124"/>
    <row r="406" ht="15.75" customHeight="1" s="124"/>
    <row r="407" ht="15.75" customHeight="1" s="124"/>
    <row r="408" ht="15.75" customHeight="1" s="124"/>
    <row r="409" ht="15.75" customHeight="1" s="124"/>
    <row r="410" ht="15.75" customHeight="1" s="124"/>
    <row r="411" ht="15.75" customHeight="1" s="124"/>
    <row r="412" ht="15.75" customHeight="1" s="124"/>
    <row r="413" ht="15.75" customHeight="1" s="124"/>
    <row r="414" ht="15.75" customHeight="1" s="124"/>
    <row r="415" ht="15.75" customHeight="1" s="124"/>
    <row r="416" ht="15.75" customHeight="1" s="124"/>
    <row r="417" ht="15.75" customHeight="1" s="124"/>
    <row r="418" ht="15.75" customHeight="1" s="124"/>
    <row r="419" ht="15.75" customHeight="1" s="124"/>
    <row r="420" ht="15.75" customHeight="1" s="124"/>
    <row r="421" ht="15.75" customHeight="1" s="124"/>
    <row r="422" ht="15.75" customHeight="1" s="124"/>
    <row r="423" ht="15.75" customHeight="1" s="124"/>
    <row r="424" ht="15.75" customHeight="1" s="124"/>
    <row r="425" ht="15.75" customHeight="1" s="124"/>
    <row r="426" ht="15.75" customHeight="1" s="124"/>
    <row r="427" ht="15.75" customHeight="1" s="124"/>
    <row r="428" ht="15.75" customHeight="1" s="124"/>
    <row r="429" ht="15.75" customHeight="1" s="124"/>
    <row r="430" ht="15.75" customHeight="1" s="124"/>
    <row r="431" ht="15.75" customHeight="1" s="124"/>
    <row r="432" ht="15.75" customHeight="1" s="124"/>
    <row r="433" ht="15.75" customHeight="1" s="124"/>
    <row r="434" ht="15.75" customHeight="1" s="124"/>
    <row r="435" ht="15.75" customHeight="1" s="124"/>
    <row r="436" ht="15.75" customHeight="1" s="124"/>
    <row r="437" ht="15.75" customHeight="1" s="124"/>
    <row r="438" ht="15.75" customHeight="1" s="124"/>
    <row r="439" ht="15.75" customHeight="1" s="124"/>
    <row r="440" ht="15.75" customHeight="1" s="124"/>
    <row r="441" ht="15.75" customHeight="1" s="124"/>
    <row r="442" ht="15.75" customHeight="1" s="124"/>
    <row r="443" ht="15.75" customHeight="1" s="124"/>
    <row r="444" ht="15.75" customHeight="1" s="124"/>
    <row r="445" ht="15.75" customHeight="1" s="124"/>
    <row r="446" ht="15.75" customHeight="1" s="124"/>
    <row r="447" ht="15.75" customHeight="1" s="124"/>
    <row r="448" ht="15.75" customHeight="1" s="124"/>
    <row r="449" ht="15.75" customHeight="1" s="124"/>
    <row r="450" ht="15.75" customHeight="1" s="124"/>
    <row r="451" ht="15.75" customHeight="1" s="124"/>
    <row r="452" ht="15.75" customHeight="1" s="124"/>
    <row r="453" ht="15.75" customHeight="1" s="124"/>
    <row r="454" ht="15.75" customHeight="1" s="124"/>
    <row r="455" ht="15.75" customHeight="1" s="124"/>
    <row r="456" ht="15.75" customHeight="1" s="124"/>
    <row r="457" ht="15.75" customHeight="1" s="124"/>
    <row r="458" ht="15.75" customHeight="1" s="124"/>
    <row r="459" ht="15.75" customHeight="1" s="124"/>
    <row r="460" ht="15.75" customHeight="1" s="124"/>
    <row r="461" ht="15.75" customHeight="1" s="124"/>
    <row r="462" ht="15.75" customHeight="1" s="124"/>
    <row r="463" ht="15.75" customHeight="1" s="124"/>
    <row r="464" ht="15.75" customHeight="1" s="124"/>
    <row r="465" ht="15.75" customHeight="1" s="124"/>
    <row r="466" ht="15.75" customHeight="1" s="124"/>
    <row r="467" ht="15.75" customHeight="1" s="124"/>
    <row r="468" ht="15.75" customHeight="1" s="124"/>
    <row r="469" ht="15.75" customHeight="1" s="124"/>
    <row r="470" ht="15.75" customHeight="1" s="124"/>
    <row r="471" ht="15.75" customHeight="1" s="124"/>
    <row r="472" ht="15.75" customHeight="1" s="124"/>
    <row r="473" ht="15.75" customHeight="1" s="124"/>
    <row r="474" ht="15.75" customHeight="1" s="124"/>
    <row r="475" ht="15.75" customHeight="1" s="124"/>
    <row r="476" ht="15.75" customHeight="1" s="124"/>
    <row r="477" ht="15.75" customHeight="1" s="124"/>
    <row r="478" ht="15.75" customHeight="1" s="124"/>
    <row r="479" ht="15.75" customHeight="1" s="124"/>
    <row r="480" ht="15.75" customHeight="1" s="124"/>
    <row r="481" ht="15.75" customHeight="1" s="124"/>
    <row r="482" ht="15.75" customHeight="1" s="124"/>
    <row r="483" ht="15.75" customHeight="1" s="124"/>
    <row r="484" ht="15.75" customHeight="1" s="124"/>
    <row r="485" ht="15.75" customHeight="1" s="124"/>
    <row r="486" ht="15.75" customHeight="1" s="124"/>
    <row r="487" ht="15.75" customHeight="1" s="124"/>
    <row r="488" ht="15.75" customHeight="1" s="124"/>
    <row r="489" ht="15.75" customHeight="1" s="124"/>
    <row r="490" ht="15.75" customHeight="1" s="124"/>
    <row r="491" ht="15.75" customHeight="1" s="124"/>
    <row r="492" ht="15.75" customHeight="1" s="124"/>
    <row r="493" ht="15.75" customHeight="1" s="124"/>
    <row r="494" ht="15.75" customHeight="1" s="124"/>
    <row r="495" ht="15.75" customHeight="1" s="124"/>
    <row r="496" ht="15.75" customHeight="1" s="124"/>
    <row r="497" ht="15.75" customHeight="1" s="124"/>
    <row r="498" ht="15.75" customHeight="1" s="124"/>
    <row r="499" ht="15.75" customHeight="1" s="124"/>
    <row r="500" ht="15.75" customHeight="1" s="124"/>
    <row r="501" ht="15.75" customHeight="1" s="124"/>
    <row r="502" ht="15.75" customHeight="1" s="124"/>
    <row r="503" ht="15.75" customHeight="1" s="124"/>
    <row r="504" ht="15.75" customHeight="1" s="124"/>
    <row r="505" ht="15.75" customHeight="1" s="124"/>
    <row r="506" ht="15.75" customHeight="1" s="124"/>
    <row r="507" ht="15.75" customHeight="1" s="124"/>
    <row r="508" ht="15.75" customHeight="1" s="124"/>
    <row r="509" ht="15.75" customHeight="1" s="124"/>
    <row r="510" ht="15.75" customHeight="1" s="124"/>
    <row r="511" ht="15.75" customHeight="1" s="124"/>
    <row r="512" ht="15.75" customHeight="1" s="124"/>
    <row r="513" ht="15.75" customHeight="1" s="124"/>
    <row r="514" ht="15.75" customHeight="1" s="124"/>
    <row r="515" ht="15.75" customHeight="1" s="124"/>
    <row r="516" ht="15.75" customHeight="1" s="124"/>
    <row r="517" ht="15.75" customHeight="1" s="124"/>
    <row r="518" ht="15.75" customHeight="1" s="124"/>
    <row r="519" ht="15.75" customHeight="1" s="124"/>
    <row r="520" ht="15.75" customHeight="1" s="124"/>
    <row r="521" ht="15.75" customHeight="1" s="124"/>
    <row r="522" ht="15.75" customHeight="1" s="124"/>
    <row r="523" ht="15.75" customHeight="1" s="124"/>
    <row r="524" ht="15.75" customHeight="1" s="124"/>
    <row r="525" ht="15.75" customHeight="1" s="124"/>
    <row r="526" ht="15.75" customHeight="1" s="124"/>
    <row r="527" ht="15.75" customHeight="1" s="124"/>
    <row r="528" ht="15.75" customHeight="1" s="124"/>
    <row r="529" ht="15.75" customHeight="1" s="124"/>
    <row r="530" ht="15.75" customHeight="1" s="124"/>
    <row r="531" ht="15.75" customHeight="1" s="124"/>
    <row r="532" ht="15.75" customHeight="1" s="124"/>
    <row r="533" ht="15.75" customHeight="1" s="124"/>
    <row r="534" ht="15.75" customHeight="1" s="124"/>
    <row r="535" ht="15.75" customHeight="1" s="124"/>
    <row r="536" ht="15.75" customHeight="1" s="124"/>
    <row r="537" ht="15.75" customHeight="1" s="124"/>
    <row r="538" ht="15.75" customHeight="1" s="124"/>
    <row r="539" ht="15.75" customHeight="1" s="124"/>
    <row r="540" ht="15.75" customHeight="1" s="124"/>
    <row r="541" ht="15.75" customHeight="1" s="124"/>
    <row r="542" ht="15.75" customHeight="1" s="124"/>
    <row r="543" ht="15.75" customHeight="1" s="124"/>
    <row r="544" ht="15.75" customHeight="1" s="124"/>
    <row r="545" ht="15.75" customHeight="1" s="124"/>
    <row r="546" ht="15.75" customHeight="1" s="124"/>
    <row r="547" ht="15.75" customHeight="1" s="124"/>
    <row r="548" ht="15.75" customHeight="1" s="124"/>
    <row r="549" ht="15.75" customHeight="1" s="124"/>
    <row r="550" ht="15.75" customHeight="1" s="124"/>
    <row r="551" ht="15.75" customHeight="1" s="124"/>
    <row r="552" ht="15.75" customHeight="1" s="124"/>
    <row r="553" ht="15.75" customHeight="1" s="124"/>
    <row r="554" ht="15.75" customHeight="1" s="124"/>
    <row r="555" ht="15.75" customHeight="1" s="124"/>
    <row r="556" ht="15.75" customHeight="1" s="124"/>
    <row r="557" ht="15.75" customHeight="1" s="124"/>
    <row r="558" ht="15.75" customHeight="1" s="124"/>
    <row r="559" ht="15.75" customHeight="1" s="124"/>
    <row r="560" ht="15.75" customHeight="1" s="124"/>
    <row r="561" ht="15.75" customHeight="1" s="124"/>
    <row r="562" ht="15.75" customHeight="1" s="124"/>
    <row r="563" ht="15.75" customHeight="1" s="124"/>
    <row r="564" ht="15.75" customHeight="1" s="124"/>
    <row r="565" ht="15.75" customHeight="1" s="124"/>
    <row r="566" ht="15.75" customHeight="1" s="124"/>
    <row r="567" ht="15.75" customHeight="1" s="124"/>
    <row r="568" ht="15.75" customHeight="1" s="124"/>
    <row r="569" ht="15.75" customHeight="1" s="124"/>
    <row r="570" ht="15.75" customHeight="1" s="124"/>
    <row r="571" ht="15.75" customHeight="1" s="124"/>
    <row r="572" ht="15.75" customHeight="1" s="124"/>
    <row r="573" ht="15.75" customHeight="1" s="124"/>
    <row r="574" ht="15.75" customHeight="1" s="124"/>
    <row r="575" ht="15.75" customHeight="1" s="124"/>
    <row r="576" ht="15.75" customHeight="1" s="124"/>
    <row r="577" ht="15.75" customHeight="1" s="124"/>
    <row r="578" ht="15.75" customHeight="1" s="124"/>
    <row r="579" ht="15.75" customHeight="1" s="124"/>
    <row r="580" ht="15.75" customHeight="1" s="124"/>
    <row r="581" ht="15.75" customHeight="1" s="124"/>
    <row r="582" ht="15.75" customHeight="1" s="124"/>
    <row r="583" ht="15.75" customHeight="1" s="124"/>
    <row r="584" ht="15.75" customHeight="1" s="124"/>
    <row r="585" ht="15.75" customHeight="1" s="124"/>
    <row r="586" ht="15.75" customHeight="1" s="124"/>
    <row r="587" ht="15.75" customHeight="1" s="124"/>
    <row r="588" ht="15.75" customHeight="1" s="124"/>
    <row r="589" ht="15.75" customHeight="1" s="124"/>
    <row r="590" ht="15.75" customHeight="1" s="124"/>
    <row r="591" ht="15.75" customHeight="1" s="124"/>
    <row r="592" ht="15.75" customHeight="1" s="124"/>
    <row r="593" ht="15.75" customHeight="1" s="124"/>
    <row r="594" ht="15.75" customHeight="1" s="124"/>
    <row r="595" ht="15.75" customHeight="1" s="124"/>
    <row r="596" ht="15.75" customHeight="1" s="124"/>
    <row r="597" ht="15.75" customHeight="1" s="124"/>
    <row r="598" ht="15.75" customHeight="1" s="124"/>
    <row r="599" ht="15.75" customHeight="1" s="124"/>
    <row r="600" ht="15.75" customHeight="1" s="124"/>
    <row r="601" ht="15.75" customHeight="1" s="124"/>
    <row r="602" ht="15.75" customHeight="1" s="124"/>
    <row r="603" ht="15.75" customHeight="1" s="124"/>
    <row r="604" ht="15.75" customHeight="1" s="124"/>
    <row r="605" ht="15.75" customHeight="1" s="124"/>
    <row r="606" ht="15.75" customHeight="1" s="124"/>
    <row r="607" ht="15.75" customHeight="1" s="124"/>
    <row r="608" ht="15.75" customHeight="1" s="124"/>
    <row r="609" ht="15.75" customHeight="1" s="124"/>
    <row r="610" ht="15.75" customHeight="1" s="124"/>
    <row r="611" ht="15.75" customHeight="1" s="124"/>
    <row r="612" ht="15.75" customHeight="1" s="124"/>
    <row r="613" ht="15.75" customHeight="1" s="124"/>
    <row r="614" ht="15.75" customHeight="1" s="124"/>
    <row r="615" ht="15.75" customHeight="1" s="124"/>
    <row r="616" ht="15.75" customHeight="1" s="124"/>
    <row r="617" ht="15.75" customHeight="1" s="124"/>
    <row r="618" ht="15.75" customHeight="1" s="124"/>
    <row r="619" ht="15.75" customHeight="1" s="124"/>
    <row r="620" ht="15.75" customHeight="1" s="124"/>
    <row r="621" ht="15.75" customHeight="1" s="124"/>
    <row r="622" ht="15.75" customHeight="1" s="124"/>
    <row r="623" ht="15.75" customHeight="1" s="124"/>
    <row r="624" ht="15.75" customHeight="1" s="124"/>
    <row r="625" ht="15.75" customHeight="1" s="124"/>
    <row r="626" ht="15.75" customHeight="1" s="124"/>
    <row r="627" ht="15.75" customHeight="1" s="124"/>
    <row r="628" ht="15.75" customHeight="1" s="124"/>
    <row r="629" ht="15.75" customHeight="1" s="124"/>
    <row r="630" ht="15.75" customHeight="1" s="124"/>
    <row r="631" ht="15.75" customHeight="1" s="124"/>
    <row r="632" ht="15.75" customHeight="1" s="124"/>
    <row r="633" ht="15.75" customHeight="1" s="124"/>
    <row r="634" ht="15.75" customHeight="1" s="124"/>
    <row r="635" ht="15.75" customHeight="1" s="124"/>
    <row r="636" ht="15.75" customHeight="1" s="124"/>
    <row r="637" ht="15.75" customHeight="1" s="124"/>
    <row r="638" ht="15.75" customHeight="1" s="124"/>
    <row r="639" ht="15.75" customHeight="1" s="124"/>
    <row r="640" ht="15.75" customHeight="1" s="124"/>
    <row r="641" ht="15.75" customHeight="1" s="124"/>
    <row r="642" ht="15.75" customHeight="1" s="124"/>
    <row r="643" ht="15.75" customHeight="1" s="124"/>
    <row r="644" ht="15.75" customHeight="1" s="124"/>
    <row r="645" ht="15.75" customHeight="1" s="124"/>
    <row r="646" ht="15.75" customHeight="1" s="124"/>
    <row r="647" ht="15.75" customHeight="1" s="124"/>
    <row r="648" ht="15.75" customHeight="1" s="124"/>
    <row r="649" ht="15.75" customHeight="1" s="124"/>
    <row r="650" ht="15.75" customHeight="1" s="124"/>
    <row r="651" ht="15.75" customHeight="1" s="124"/>
    <row r="652" ht="15.75" customHeight="1" s="124"/>
    <row r="653" ht="15.75" customHeight="1" s="124"/>
    <row r="654" ht="15.75" customHeight="1" s="124"/>
    <row r="655" ht="15.75" customHeight="1" s="124"/>
    <row r="656" ht="15.75" customHeight="1" s="124"/>
    <row r="657" ht="15.75" customHeight="1" s="124"/>
    <row r="658" ht="15.75" customHeight="1" s="124"/>
    <row r="659" ht="15.75" customHeight="1" s="124"/>
    <row r="660" ht="15.75" customHeight="1" s="124"/>
    <row r="661" ht="15.75" customHeight="1" s="124"/>
    <row r="662" ht="15.75" customHeight="1" s="124"/>
    <row r="663" ht="15.75" customHeight="1" s="124"/>
    <row r="664" ht="15.75" customHeight="1" s="124"/>
    <row r="665" ht="15.75" customHeight="1" s="124"/>
    <row r="666" ht="15.75" customHeight="1" s="124"/>
    <row r="667" ht="15.75" customHeight="1" s="124"/>
    <row r="668" ht="15.75" customHeight="1" s="124"/>
    <row r="669" ht="15.75" customHeight="1" s="124"/>
    <row r="670" ht="15.75" customHeight="1" s="124"/>
    <row r="671" ht="15.75" customHeight="1" s="124"/>
    <row r="672" ht="15.75" customHeight="1" s="124"/>
    <row r="673" ht="15.75" customHeight="1" s="124"/>
    <row r="674" ht="15.75" customHeight="1" s="124"/>
    <row r="675" ht="15.75" customHeight="1" s="124"/>
    <row r="676" ht="15.75" customHeight="1" s="124"/>
    <row r="677" ht="15.75" customHeight="1" s="124"/>
    <row r="678" ht="15.75" customHeight="1" s="124"/>
    <row r="679" ht="15.75" customHeight="1" s="124"/>
    <row r="680" ht="15.75" customHeight="1" s="124"/>
    <row r="681" ht="15.75" customHeight="1" s="124"/>
    <row r="682" ht="15.75" customHeight="1" s="124"/>
    <row r="683" ht="15.75" customHeight="1" s="124"/>
    <row r="684" ht="15.75" customHeight="1" s="124"/>
    <row r="685" ht="15.75" customHeight="1" s="124"/>
    <row r="686" ht="15.75" customHeight="1" s="124"/>
    <row r="687" ht="15.75" customHeight="1" s="124"/>
    <row r="688" ht="15.75" customHeight="1" s="124"/>
    <row r="689" ht="15.75" customHeight="1" s="124"/>
    <row r="690" ht="15.75" customHeight="1" s="124"/>
    <row r="691" ht="15.75" customHeight="1" s="124"/>
    <row r="692" ht="15.75" customHeight="1" s="124"/>
    <row r="693" ht="15.75" customHeight="1" s="124"/>
    <row r="694" ht="15.75" customHeight="1" s="124"/>
    <row r="695" ht="15.75" customHeight="1" s="124"/>
    <row r="696" ht="15.75" customHeight="1" s="124"/>
    <row r="697" ht="15.75" customHeight="1" s="124"/>
    <row r="698" ht="15.75" customHeight="1" s="124"/>
    <row r="699" ht="15.75" customHeight="1" s="124"/>
    <row r="700" ht="15.75" customHeight="1" s="124"/>
    <row r="701" ht="15.75" customHeight="1" s="124"/>
    <row r="702" ht="15.75" customHeight="1" s="124"/>
    <row r="703" ht="15.75" customHeight="1" s="124"/>
    <row r="704" ht="15.75" customHeight="1" s="124"/>
    <row r="705" ht="15.75" customHeight="1" s="124"/>
    <row r="706" ht="15.75" customHeight="1" s="124"/>
    <row r="707" ht="15.75" customHeight="1" s="124"/>
    <row r="708" ht="15.75" customHeight="1" s="124"/>
    <row r="709" ht="15.75" customHeight="1" s="124"/>
    <row r="710" ht="15.75" customHeight="1" s="124"/>
    <row r="711" ht="15.75" customHeight="1" s="124"/>
    <row r="712" ht="15.75" customHeight="1" s="124"/>
    <row r="713" ht="15.75" customHeight="1" s="124"/>
    <row r="714" ht="15.75" customHeight="1" s="124"/>
    <row r="715" ht="15.75" customHeight="1" s="124"/>
    <row r="716" ht="15.75" customHeight="1" s="124"/>
    <row r="717" ht="15.75" customHeight="1" s="124"/>
    <row r="718" ht="15.75" customHeight="1" s="124"/>
    <row r="719" ht="15.75" customHeight="1" s="124"/>
    <row r="720" ht="15.75" customHeight="1" s="124"/>
    <row r="721" ht="15.75" customHeight="1" s="124"/>
    <row r="722" ht="15.75" customHeight="1" s="124"/>
    <row r="723" ht="15.75" customHeight="1" s="124"/>
    <row r="724" ht="15.75" customHeight="1" s="124"/>
    <row r="725" ht="15.75" customHeight="1" s="124"/>
    <row r="726" ht="15.75" customHeight="1" s="124"/>
    <row r="727" ht="15.75" customHeight="1" s="124"/>
    <row r="728" ht="15.75" customHeight="1" s="124"/>
    <row r="729" ht="15.75" customHeight="1" s="124"/>
    <row r="730" ht="15.75" customHeight="1" s="124"/>
    <row r="731" ht="15.75" customHeight="1" s="124"/>
    <row r="732" ht="15.75" customHeight="1" s="124"/>
    <row r="733" ht="15.75" customHeight="1" s="124"/>
    <row r="734" ht="15.75" customHeight="1" s="124"/>
    <row r="735" ht="15.75" customHeight="1" s="124"/>
    <row r="736" ht="15.75" customHeight="1" s="124"/>
    <row r="737" ht="15.75" customHeight="1" s="124"/>
    <row r="738" ht="15.75" customHeight="1" s="124"/>
    <row r="739" ht="15.75" customHeight="1" s="124"/>
    <row r="740" ht="15.75" customHeight="1" s="124"/>
    <row r="741" ht="15.75" customHeight="1" s="124"/>
    <row r="742" ht="15.75" customHeight="1" s="124"/>
    <row r="743" ht="15.75" customHeight="1" s="124"/>
    <row r="744" ht="15.75" customHeight="1" s="124"/>
    <row r="745" ht="15.75" customHeight="1" s="124"/>
    <row r="746" ht="15.75" customHeight="1" s="124"/>
    <row r="747" ht="15.75" customHeight="1" s="124"/>
    <row r="748" ht="15.75" customHeight="1" s="124"/>
    <row r="749" ht="15.75" customHeight="1" s="124"/>
    <row r="750" ht="15.75" customHeight="1" s="124"/>
    <row r="751" ht="15.75" customHeight="1" s="124"/>
    <row r="752" ht="15.75" customHeight="1" s="124"/>
    <row r="753" ht="15.75" customHeight="1" s="124"/>
    <row r="754" ht="15.75" customHeight="1" s="124"/>
    <row r="755" ht="15.75" customHeight="1" s="124"/>
    <row r="756" ht="15.75" customHeight="1" s="124"/>
    <row r="757" ht="15.75" customHeight="1" s="124"/>
    <row r="758" ht="15.75" customHeight="1" s="124"/>
    <row r="759" ht="15.75" customHeight="1" s="124"/>
    <row r="760" ht="15.75" customHeight="1" s="124"/>
    <row r="761" ht="15.75" customHeight="1" s="124"/>
    <row r="762" ht="15.75" customHeight="1" s="124"/>
    <row r="763" ht="15.75" customHeight="1" s="124"/>
    <row r="764" ht="15.75" customHeight="1" s="124"/>
    <row r="765" ht="15.75" customHeight="1" s="124"/>
    <row r="766" ht="15.75" customHeight="1" s="124"/>
    <row r="767" ht="15.75" customHeight="1" s="124"/>
    <row r="768" ht="15.75" customHeight="1" s="124"/>
    <row r="769" ht="15.75" customHeight="1" s="124"/>
    <row r="770" ht="15.75" customHeight="1" s="124"/>
    <row r="771" ht="15.75" customHeight="1" s="124"/>
    <row r="772" ht="15.75" customHeight="1" s="124"/>
    <row r="773" ht="15.75" customHeight="1" s="124"/>
    <row r="774" ht="15.75" customHeight="1" s="124"/>
    <row r="775" ht="15.75" customHeight="1" s="124"/>
    <row r="776" ht="15.75" customHeight="1" s="124"/>
    <row r="777" ht="15.75" customHeight="1" s="124"/>
    <row r="778" ht="15.75" customHeight="1" s="124"/>
    <row r="779" ht="15.75" customHeight="1" s="124"/>
    <row r="780" ht="15.75" customHeight="1" s="124"/>
    <row r="781" ht="15.75" customHeight="1" s="124"/>
    <row r="782" ht="15.75" customHeight="1" s="124"/>
    <row r="783" ht="15.75" customHeight="1" s="124"/>
    <row r="784" ht="15.75" customHeight="1" s="124"/>
    <row r="785" ht="15.75" customHeight="1" s="124"/>
    <row r="786" ht="15.75" customHeight="1" s="124"/>
    <row r="787" ht="15.75" customHeight="1" s="124"/>
    <row r="788" ht="15.75" customHeight="1" s="124"/>
    <row r="789" ht="15.75" customHeight="1" s="124"/>
    <row r="790" ht="15.75" customHeight="1" s="124"/>
    <row r="791" ht="15.75" customHeight="1" s="124"/>
    <row r="792" ht="15.75" customHeight="1" s="124"/>
    <row r="793" ht="15.75" customHeight="1" s="124"/>
    <row r="794" ht="15.75" customHeight="1" s="124"/>
    <row r="795" ht="15.75" customHeight="1" s="124"/>
    <row r="796" ht="15.75" customHeight="1" s="124"/>
    <row r="797" ht="15.75" customHeight="1" s="124"/>
    <row r="798" ht="15.75" customHeight="1" s="124"/>
    <row r="799" ht="15.75" customHeight="1" s="124"/>
    <row r="800" ht="15.75" customHeight="1" s="124"/>
    <row r="801" ht="15.75" customHeight="1" s="124"/>
    <row r="802" ht="15.75" customHeight="1" s="124"/>
    <row r="803" ht="15.75" customHeight="1" s="124"/>
    <row r="804" ht="15.75" customHeight="1" s="124"/>
    <row r="805" ht="15.75" customHeight="1" s="124"/>
    <row r="806" ht="15.75" customHeight="1" s="124"/>
    <row r="807" ht="15.75" customHeight="1" s="124"/>
    <row r="808" ht="15.75" customHeight="1" s="124"/>
    <row r="809" ht="15.75" customHeight="1" s="124"/>
    <row r="810" ht="15.75" customHeight="1" s="124"/>
    <row r="811" ht="15.75" customHeight="1" s="124"/>
    <row r="812" ht="15.75" customHeight="1" s="124"/>
    <row r="813" ht="15.75" customHeight="1" s="124"/>
    <row r="814" ht="15.75" customHeight="1" s="124"/>
    <row r="815" ht="15.75" customHeight="1" s="124"/>
    <row r="816" ht="15.75" customHeight="1" s="124"/>
    <row r="817" ht="15.75" customHeight="1" s="124"/>
    <row r="818" ht="15.75" customHeight="1" s="124"/>
    <row r="819" ht="15.75" customHeight="1" s="124"/>
    <row r="820" ht="15.75" customHeight="1" s="124"/>
    <row r="821" ht="15.75" customHeight="1" s="124"/>
    <row r="822" ht="15.75" customHeight="1" s="124"/>
    <row r="823" ht="15.75" customHeight="1" s="124"/>
    <row r="824" ht="15.75" customHeight="1" s="124"/>
    <row r="825" ht="15.75" customHeight="1" s="124"/>
    <row r="826" ht="15.75" customHeight="1" s="124"/>
    <row r="827" ht="15.75" customHeight="1" s="124"/>
    <row r="828" ht="15.75" customHeight="1" s="124"/>
    <row r="829" ht="15.75" customHeight="1" s="124"/>
    <row r="830" ht="15.75" customHeight="1" s="124"/>
    <row r="831" ht="15.75" customHeight="1" s="124"/>
    <row r="832" ht="15.75" customHeight="1" s="124"/>
    <row r="833" ht="15.75" customHeight="1" s="124"/>
    <row r="834" ht="15.75" customHeight="1" s="124"/>
    <row r="835" ht="15.75" customHeight="1" s="124"/>
    <row r="836" ht="15.75" customHeight="1" s="124"/>
    <row r="837" ht="15.75" customHeight="1" s="124"/>
    <row r="838" ht="15.75" customHeight="1" s="124"/>
    <row r="839" ht="15.75" customHeight="1" s="124"/>
    <row r="840" ht="15.75" customHeight="1" s="124"/>
    <row r="841" ht="15.75" customHeight="1" s="124"/>
    <row r="842" ht="15.75" customHeight="1" s="124"/>
    <row r="843" ht="15.75" customHeight="1" s="124"/>
    <row r="844" ht="15.75" customHeight="1" s="124"/>
    <row r="845" ht="15.75" customHeight="1" s="124"/>
    <row r="846" ht="15.75" customHeight="1" s="124"/>
    <row r="847" ht="15.75" customHeight="1" s="124"/>
    <row r="848" ht="15.75" customHeight="1" s="124"/>
    <row r="849" ht="15.75" customHeight="1" s="124"/>
    <row r="850" ht="15.75" customHeight="1" s="124"/>
    <row r="851" ht="15.75" customHeight="1" s="124"/>
    <row r="852" ht="15.75" customHeight="1" s="124"/>
    <row r="853" ht="15.75" customHeight="1" s="124"/>
    <row r="854" ht="15.75" customHeight="1" s="124"/>
    <row r="855" ht="15.75" customHeight="1" s="124"/>
    <row r="856" ht="15.75" customHeight="1" s="124"/>
    <row r="857" ht="15.75" customHeight="1" s="124"/>
    <row r="858" ht="15.75" customHeight="1" s="124"/>
    <row r="859" ht="15.75" customHeight="1" s="124"/>
    <row r="860" ht="15.75" customHeight="1" s="124"/>
    <row r="861" ht="15.75" customHeight="1" s="124"/>
    <row r="862" ht="15.75" customHeight="1" s="124"/>
    <row r="863" ht="15.75" customHeight="1" s="124"/>
    <row r="864" ht="15.75" customHeight="1" s="124"/>
    <row r="865" ht="15.75" customHeight="1" s="124"/>
    <row r="866" ht="15.75" customHeight="1" s="124"/>
    <row r="867" ht="15.75" customHeight="1" s="124"/>
    <row r="868" ht="15.75" customHeight="1" s="124"/>
    <row r="869" ht="15.75" customHeight="1" s="124"/>
    <row r="870" ht="15.75" customHeight="1" s="124"/>
    <row r="871" ht="15.75" customHeight="1" s="124"/>
    <row r="872" ht="15.75" customHeight="1" s="124"/>
    <row r="873" ht="15.75" customHeight="1" s="124"/>
    <row r="874" ht="15.75" customHeight="1" s="124"/>
    <row r="875" ht="15.75" customHeight="1" s="124"/>
    <row r="876" ht="15.75" customHeight="1" s="124"/>
    <row r="877" ht="15.75" customHeight="1" s="124"/>
    <row r="878" ht="15.75" customHeight="1" s="124"/>
    <row r="879" ht="15.75" customHeight="1" s="124"/>
    <row r="880" ht="15.75" customHeight="1" s="124"/>
    <row r="881" ht="15.75" customHeight="1" s="124"/>
    <row r="882" ht="15.75" customHeight="1" s="124"/>
    <row r="883" ht="15.75" customHeight="1" s="124"/>
    <row r="884" ht="15.75" customHeight="1" s="124"/>
    <row r="885" ht="15.75" customHeight="1" s="124"/>
    <row r="886" ht="15.75" customHeight="1" s="124"/>
    <row r="887" ht="15.75" customHeight="1" s="124"/>
    <row r="888" ht="15.75" customHeight="1" s="124"/>
    <row r="889" ht="15.75" customHeight="1" s="124"/>
    <row r="890" ht="15.75" customHeight="1" s="124"/>
    <row r="891" ht="15.75" customHeight="1" s="124"/>
    <row r="892" ht="15.75" customHeight="1" s="124"/>
    <row r="893" ht="15.75" customHeight="1" s="124"/>
    <row r="894" ht="15.75" customHeight="1" s="124"/>
    <row r="895" ht="15.75" customHeight="1" s="124"/>
    <row r="896" ht="15.75" customHeight="1" s="124"/>
    <row r="897" ht="15.75" customHeight="1" s="124"/>
    <row r="898" ht="15.75" customHeight="1" s="124"/>
    <row r="899" ht="15.75" customHeight="1" s="124"/>
    <row r="900" ht="15.75" customHeight="1" s="124"/>
    <row r="901" ht="15.75" customHeight="1" s="124"/>
    <row r="902" ht="15.75" customHeight="1" s="124"/>
    <row r="903" ht="15.75" customHeight="1" s="124"/>
    <row r="904" ht="15.75" customHeight="1" s="124"/>
    <row r="905" ht="15.75" customHeight="1" s="124"/>
    <row r="906" ht="15.75" customHeight="1" s="124"/>
    <row r="907" ht="15.75" customHeight="1" s="124"/>
    <row r="908" ht="15.75" customHeight="1" s="124"/>
    <row r="909" ht="15.75" customHeight="1" s="124"/>
    <row r="910" ht="15.75" customHeight="1" s="124"/>
    <row r="911" ht="15.75" customHeight="1" s="124"/>
    <row r="912" ht="15.75" customHeight="1" s="124"/>
    <row r="913" ht="15.75" customHeight="1" s="124"/>
    <row r="914" ht="15.75" customHeight="1" s="124"/>
    <row r="915" ht="15.75" customHeight="1" s="124"/>
    <row r="916" ht="15.75" customHeight="1" s="124"/>
    <row r="917" ht="15.75" customHeight="1" s="124"/>
    <row r="918" ht="15.75" customHeight="1" s="124"/>
    <row r="919" ht="15.75" customHeight="1" s="124"/>
    <row r="920" ht="15.75" customHeight="1" s="124"/>
    <row r="921" ht="15.75" customHeight="1" s="124"/>
    <row r="922" ht="15.75" customHeight="1" s="124"/>
    <row r="923" ht="15.75" customHeight="1" s="124"/>
    <row r="924" ht="15.75" customHeight="1" s="124"/>
    <row r="925" ht="15.75" customHeight="1" s="124"/>
    <row r="926" ht="15.75" customHeight="1" s="124"/>
    <row r="927" ht="15.75" customHeight="1" s="124"/>
    <row r="928" ht="15.75" customHeight="1" s="124"/>
    <row r="929" ht="15.75" customHeight="1" s="124"/>
    <row r="930" ht="15.75" customHeight="1" s="124"/>
    <row r="931" ht="15.75" customHeight="1" s="124"/>
    <row r="932" ht="15.75" customHeight="1" s="124"/>
    <row r="933" ht="15.75" customHeight="1" s="124"/>
    <row r="934" ht="15.75" customHeight="1" s="124"/>
    <row r="935" ht="15.75" customHeight="1" s="124"/>
    <row r="936" ht="15.75" customHeight="1" s="124"/>
    <row r="937" ht="15.75" customHeight="1" s="124"/>
    <row r="938" ht="15.75" customHeight="1" s="124"/>
    <row r="939" ht="15.75" customHeight="1" s="124"/>
    <row r="940" ht="15.75" customHeight="1" s="124"/>
    <row r="941" ht="15.75" customHeight="1" s="124"/>
    <row r="942" ht="15.75" customHeight="1" s="124"/>
    <row r="943" ht="15.75" customHeight="1" s="124"/>
    <row r="944" ht="15.75" customHeight="1" s="124"/>
    <row r="945" ht="15.75" customHeight="1" s="124"/>
    <row r="946" ht="15.75" customHeight="1" s="124"/>
    <row r="947" ht="15.75" customHeight="1" s="124"/>
    <row r="948" ht="15.75" customHeight="1" s="124"/>
    <row r="949" ht="15.75" customHeight="1" s="124"/>
    <row r="950" ht="15.75" customHeight="1" s="124"/>
    <row r="951" ht="15.75" customHeight="1" s="124"/>
    <row r="952" ht="15.75" customHeight="1" s="124"/>
    <row r="953" ht="15.75" customHeight="1" s="124"/>
    <row r="954" ht="15.75" customHeight="1" s="124"/>
    <row r="955" ht="15.75" customHeight="1" s="124"/>
    <row r="956" ht="15.75" customHeight="1" s="124"/>
    <row r="957" ht="15.75" customHeight="1" s="124"/>
    <row r="958" ht="15.75" customHeight="1" s="124"/>
    <row r="959" ht="15.75" customHeight="1" s="124"/>
    <row r="960" ht="15.75" customHeight="1" s="124"/>
    <row r="961" ht="15.75" customHeight="1" s="124"/>
    <row r="962" ht="15.75" customHeight="1" s="124"/>
    <row r="963" ht="15.75" customHeight="1" s="124"/>
    <row r="964" ht="15.75" customHeight="1" s="124"/>
    <row r="965" ht="15.75" customHeight="1" s="124"/>
    <row r="966" ht="15.75" customHeight="1" s="124"/>
    <row r="967" ht="15.75" customHeight="1" s="124"/>
    <row r="968" ht="15.75" customHeight="1" s="124"/>
    <row r="969" ht="15.75" customHeight="1" s="124"/>
    <row r="970" ht="15.75" customHeight="1" s="124"/>
    <row r="971" ht="15.75" customHeight="1" s="124"/>
    <row r="972" ht="15.75" customHeight="1" s="124"/>
    <row r="973" ht="15.75" customHeight="1" s="124"/>
    <row r="974" ht="15.75" customHeight="1" s="124"/>
    <row r="975" ht="15.75" customHeight="1" s="124"/>
    <row r="976" ht="15.75" customHeight="1" s="124"/>
    <row r="977" ht="15.75" customHeight="1" s="124"/>
    <row r="978" ht="15.75" customHeight="1" s="124"/>
    <row r="979" ht="15.75" customHeight="1" s="124"/>
    <row r="980" ht="15.75" customHeight="1" s="124"/>
    <row r="981" ht="15.75" customHeight="1" s="124"/>
    <row r="982" ht="15.75" customHeight="1" s="124"/>
    <row r="983" ht="15.75" customHeight="1" s="124"/>
    <row r="984" ht="15.75" customHeight="1" s="124"/>
    <row r="985" ht="15.75" customHeight="1" s="124"/>
    <row r="986" ht="15.75" customHeight="1" s="124"/>
    <row r="987" ht="15.75" customHeight="1" s="124"/>
    <row r="988" ht="15.75" customHeight="1" s="124"/>
    <row r="989" ht="15.75" customHeight="1" s="124"/>
    <row r="990" ht="15.75" customHeight="1" s="124"/>
    <row r="991" ht="15.75" customHeight="1" s="124"/>
    <row r="992" ht="15.75" customHeight="1" s="124"/>
    <row r="993" ht="15.75" customHeight="1" s="124"/>
    <row r="994" ht="15.75" customHeight="1" s="124"/>
    <row r="995" ht="15.75" customHeight="1" s="124"/>
    <row r="996" ht="15.75" customHeight="1" s="124"/>
    <row r="997" ht="15.75" customHeight="1" s="124"/>
    <row r="998" ht="15.75" customHeight="1" s="124"/>
    <row r="999" ht="15.75" customHeight="1" s="124"/>
    <row r="1000" ht="15.75" customHeight="1" s="124"/>
  </sheetData>
  <mergeCells count="145">
    <mergeCell ref="E65:L66"/>
    <mergeCell ref="U39:W40"/>
    <mergeCell ref="H45:O46"/>
    <mergeCell ref="E47:G48"/>
    <mergeCell ref="E81:W81"/>
    <mergeCell ref="E37:G38"/>
    <mergeCell ref="H47:O48"/>
    <mergeCell ref="E24:G25"/>
    <mergeCell ref="B59:D60"/>
    <mergeCell ref="H28:O29"/>
    <mergeCell ref="B84:D84"/>
    <mergeCell ref="E39:G40"/>
    <mergeCell ref="H37:O38"/>
    <mergeCell ref="H24:O25"/>
    <mergeCell ref="B61:D62"/>
    <mergeCell ref="H30:O31"/>
    <mergeCell ref="B80:D80"/>
    <mergeCell ref="E11:W12"/>
    <mergeCell ref="B13:D14"/>
    <mergeCell ref="U41:W42"/>
    <mergeCell ref="P22:T23"/>
    <mergeCell ref="H43:O44"/>
    <mergeCell ref="B28:D29"/>
    <mergeCell ref="E49:G50"/>
    <mergeCell ref="B6:D7"/>
    <mergeCell ref="E13:L14"/>
    <mergeCell ref="B37:D38"/>
    <mergeCell ref="E55:L56"/>
    <mergeCell ref="B15:D16"/>
    <mergeCell ref="P34:T35"/>
    <mergeCell ref="B24:D25"/>
    <mergeCell ref="E84:W84"/>
    <mergeCell ref="H41:O42"/>
    <mergeCell ref="U43:W44"/>
    <mergeCell ref="P59:W60"/>
    <mergeCell ref="H49:O50"/>
    <mergeCell ref="M17:O18"/>
    <mergeCell ref="M61:O62"/>
    <mergeCell ref="E80:W80"/>
    <mergeCell ref="P61:W62"/>
    <mergeCell ref="H22:O23"/>
    <mergeCell ref="B63:D64"/>
    <mergeCell ref="M53:O54"/>
    <mergeCell ref="B82:D82"/>
    <mergeCell ref="U22:W23"/>
    <mergeCell ref="B2:E3"/>
    <mergeCell ref="B10:D10"/>
    <mergeCell ref="M19:O20"/>
    <mergeCell ref="P13:W14"/>
    <mergeCell ref="E22:G23"/>
    <mergeCell ref="B26:D27"/>
    <mergeCell ref="B41:D42"/>
    <mergeCell ref="P53:W54"/>
    <mergeCell ref="M59:O60"/>
    <mergeCell ref="P32:T33"/>
    <mergeCell ref="P15:W16"/>
    <mergeCell ref="E6:Q7"/>
    <mergeCell ref="U30:W31"/>
    <mergeCell ref="B43:D44"/>
    <mergeCell ref="B17:D18"/>
    <mergeCell ref="B83:D83"/>
    <mergeCell ref="P43:T44"/>
    <mergeCell ref="B5:D5"/>
    <mergeCell ref="B68:W69"/>
    <mergeCell ref="M8:M9"/>
    <mergeCell ref="M13:O14"/>
    <mergeCell ref="E82:W82"/>
    <mergeCell ref="M65:O66"/>
    <mergeCell ref="P63:W64"/>
    <mergeCell ref="U32:W33"/>
    <mergeCell ref="T5:V5"/>
    <mergeCell ref="P65:W66"/>
    <mergeCell ref="B53:D54"/>
    <mergeCell ref="U24:W25"/>
    <mergeCell ref="M57:O58"/>
    <mergeCell ref="E59:L60"/>
    <mergeCell ref="O8:Q9"/>
    <mergeCell ref="U26:W27"/>
    <mergeCell ref="B55:D56"/>
    <mergeCell ref="P39:T40"/>
    <mergeCell ref="E26:G27"/>
    <mergeCell ref="E41:G42"/>
    <mergeCell ref="P17:W18"/>
    <mergeCell ref="B30:D31"/>
    <mergeCell ref="B45:D46"/>
    <mergeCell ref="M63:O64"/>
    <mergeCell ref="E15:L16"/>
    <mergeCell ref="B32:D33"/>
    <mergeCell ref="P19:W20"/>
    <mergeCell ref="P47:T48"/>
    <mergeCell ref="P37:T38"/>
    <mergeCell ref="U34:W35"/>
    <mergeCell ref="P24:T25"/>
    <mergeCell ref="M55:O56"/>
    <mergeCell ref="E57:L58"/>
    <mergeCell ref="B8:D9"/>
    <mergeCell ref="P30:T31"/>
    <mergeCell ref="B11:D12"/>
    <mergeCell ref="E5:Q5"/>
    <mergeCell ref="U45:W46"/>
    <mergeCell ref="P26:T27"/>
    <mergeCell ref="K8:K9"/>
    <mergeCell ref="P55:W56"/>
    <mergeCell ref="B57:D58"/>
    <mergeCell ref="M15:O16"/>
    <mergeCell ref="P41:T42"/>
    <mergeCell ref="E28:G29"/>
    <mergeCell ref="U47:W48"/>
    <mergeCell ref="B34:D35"/>
    <mergeCell ref="U37:W38"/>
    <mergeCell ref="E30:G31"/>
    <mergeCell ref="B49:D50"/>
    <mergeCell ref="E19:L20"/>
    <mergeCell ref="E32:G33"/>
    <mergeCell ref="P49:T50"/>
    <mergeCell ref="N3:P3"/>
    <mergeCell ref="B22:D23"/>
    <mergeCell ref="P28:T29"/>
    <mergeCell ref="P57:W58"/>
    <mergeCell ref="B85:D86"/>
    <mergeCell ref="E61:L62"/>
    <mergeCell ref="H32:O33"/>
    <mergeCell ref="L8:L9"/>
    <mergeCell ref="E43:G44"/>
    <mergeCell ref="N8:N9"/>
    <mergeCell ref="U49:W50"/>
    <mergeCell ref="B47:D48"/>
    <mergeCell ref="E8:J9"/>
    <mergeCell ref="B78:W79"/>
    <mergeCell ref="E53:L54"/>
    <mergeCell ref="E34:G35"/>
    <mergeCell ref="B39:D40"/>
    <mergeCell ref="P45:T46"/>
    <mergeCell ref="U28:W29"/>
    <mergeCell ref="H26:O27"/>
    <mergeCell ref="B81:D81"/>
    <mergeCell ref="E85:W86"/>
    <mergeCell ref="E17:L18"/>
    <mergeCell ref="B19:D20"/>
    <mergeCell ref="B65:D66"/>
    <mergeCell ref="E63:L64"/>
    <mergeCell ref="H34:O35"/>
    <mergeCell ref="B70:W76"/>
    <mergeCell ref="H39:O40"/>
    <mergeCell ref="E45:G46"/>
  </mergeCells>
  <dataValidations count="4">
    <dataValidation sqref="P15" showDropDown="0" showInputMessage="0" showErrorMessage="1" allowBlank="1" type="list">
      <formula1>list!$A$2:$A$11</formula1>
    </dataValidation>
    <dataValidation sqref="E80 U39 U41 U43 U45 U47 U49" showDropDown="0" showInputMessage="0" showErrorMessage="1" allowBlank="1" type="list">
      <formula1>list!$C$2:$C$6</formula1>
    </dataValidation>
    <dataValidation sqref="P13" showDropDown="0" showInputMessage="0" showErrorMessage="1" allowBlank="1" type="list">
      <formula1>list!$D$2:$D$3</formula1>
    </dataValidation>
    <dataValidation sqref="U24 U26 U28 U30 U32 U34" showDropDown="0" showInputMessage="0" showErrorMessage="1" allowBlank="1" type="list">
      <formula1>list!$B$2:$B$6</formula1>
    </dataValidation>
  </dataValidations>
  <printOptions horizontalCentered="1"/>
  <pageMargins left="0.2362204724409449" right="0.2362204724409449" top="0.7480314960629921" bottom="0.7480314960629921" header="0" footer="0"/>
  <pageSetup orientation="portrait" paperSize="9"/>
  <rowBreaks count="1" manualBreakCount="1">
    <brk id="51" min="0" max="16383" man="1"/>
  </rowBreaks>
</worksheet>
</file>

<file path=xl/worksheets/sheet2.xml><?xml version="1.0" encoding="utf-8"?>
<worksheet xmlns="http://schemas.openxmlformats.org/spreadsheetml/2006/main">
  <sheetPr>
    <tabColor rgb="FFFEF2CB"/>
    <outlinePr summaryBelow="1" summaryRight="1"/>
    <pageSetUpPr/>
  </sheetPr>
  <dimension ref="A1:Y174"/>
  <sheetViews>
    <sheetView workbookViewId="0">
      <selection activeCell="A1" sqref="A1"/>
    </sheetView>
  </sheetViews>
  <sheetFormatPr baseColWidth="8" defaultColWidth="14.43" defaultRowHeight="15" customHeight="1"/>
  <cols>
    <col width="4.71" customWidth="1" style="124" min="1" max="2"/>
    <col width="5.14" customWidth="1" style="124" min="3" max="4"/>
    <col width="4.71" customWidth="1" style="124" min="5" max="24"/>
    <col width="8.710000000000001" customWidth="1" style="124" min="25" max="25"/>
  </cols>
  <sheetData>
    <row r="1" ht="18" customHeight="1" s="124">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19.5" customHeight="1" s="124">
      <c r="A2" s="1" t="n"/>
      <c r="B2" s="1" t="n"/>
      <c r="C2" s="1" t="n"/>
      <c r="D2" s="1" t="n"/>
      <c r="E2" s="1" t="n"/>
      <c r="F2" s="1" t="n"/>
      <c r="G2" s="1" t="n"/>
      <c r="H2" s="1" t="n"/>
      <c r="I2" s="1" t="n"/>
      <c r="J2" s="2" t="inlineStr">
        <is>
          <t>職務経歴書</t>
        </is>
      </c>
      <c r="P2" s="1" t="n"/>
      <c r="Q2" s="1" t="n"/>
      <c r="R2" s="1" t="n"/>
      <c r="S2" s="1" t="n"/>
      <c r="T2" s="1" t="n"/>
      <c r="U2" s="1" t="n"/>
      <c r="V2" s="1" t="n"/>
      <c r="W2" s="1" t="n"/>
      <c r="X2" s="1" t="n"/>
    </row>
    <row r="3" ht="18" customHeight="1" s="124">
      <c r="A3" s="1" t="n"/>
      <c r="B3" s="1" t="n"/>
      <c r="C3" s="1" t="n"/>
      <c r="D3" s="1" t="n"/>
      <c r="E3" s="1" t="n"/>
      <c r="F3" s="1" t="n"/>
      <c r="G3" s="1" t="n"/>
      <c r="H3" s="1" t="n"/>
      <c r="I3" s="1" t="n"/>
      <c r="P3" s="1" t="n"/>
      <c r="Q3" s="1" t="n"/>
      <c r="R3" s="4">
        <f>TODAY()</f>
        <v/>
      </c>
      <c r="U3" s="32" t="inlineStr">
        <is>
          <t>現在</t>
        </is>
      </c>
      <c r="W3" s="1" t="n"/>
      <c r="X3" s="1" t="n"/>
    </row>
    <row r="4" ht="18" customHeight="1" s="124">
      <c r="A4" s="1" t="n"/>
      <c r="B4" s="1" t="n"/>
      <c r="C4" s="1" t="n"/>
      <c r="D4" s="1" t="n"/>
      <c r="E4" s="1" t="n"/>
      <c r="F4" s="1" t="n"/>
      <c r="G4" s="1" t="n"/>
      <c r="H4" s="1" t="n"/>
      <c r="I4" s="1" t="n"/>
      <c r="J4" s="1" t="n"/>
      <c r="K4" s="1" t="n"/>
      <c r="L4" s="1" t="n"/>
      <c r="M4" s="1" t="n"/>
      <c r="N4" s="1" t="n"/>
      <c r="O4" s="1" t="n"/>
      <c r="P4" s="1" t="n"/>
      <c r="Q4" s="1" t="n"/>
      <c r="R4" s="1" t="n"/>
      <c r="S4" s="1" t="n"/>
      <c r="T4" s="1" t="n"/>
      <c r="U4" s="1" t="n"/>
      <c r="V4" s="1" t="n"/>
      <c r="W4" s="1" t="n"/>
      <c r="X4" s="1" t="n"/>
    </row>
    <row r="5" ht="18" customHeight="1" s="124">
      <c r="A5" s="1" t="n"/>
      <c r="B5" s="1" t="n"/>
      <c r="C5" s="1" t="n"/>
      <c r="D5" s="1" t="n"/>
      <c r="E5" s="1" t="n"/>
      <c r="F5" s="1" t="n"/>
      <c r="G5" s="1" t="n"/>
      <c r="H5" s="1" t="n"/>
      <c r="I5" s="1" t="n"/>
      <c r="J5" s="1" t="n"/>
      <c r="K5" s="1" t="n"/>
      <c r="L5" s="1" t="n"/>
      <c r="M5" s="1" t="n"/>
      <c r="N5" s="1" t="n"/>
      <c r="O5" s="1" t="n"/>
      <c r="P5" s="76" t="inlineStr">
        <is>
          <t>名前</t>
        </is>
      </c>
      <c r="Q5" s="134" t="n"/>
      <c r="R5" s="76">
        <f>'履歴書'!E6</f>
        <v/>
      </c>
      <c r="S5" s="134" t="n"/>
      <c r="T5" s="134" t="n"/>
      <c r="U5" s="134" t="n"/>
      <c r="V5" s="134" t="n"/>
      <c r="W5" s="134" t="n"/>
      <c r="X5" s="1" t="n"/>
    </row>
    <row r="6" ht="18" customHeight="1" s="124">
      <c r="A6" s="1" t="n"/>
      <c r="B6" s="1" t="n"/>
      <c r="C6" s="1" t="n"/>
      <c r="D6" s="1" t="n"/>
      <c r="E6" s="1" t="n"/>
      <c r="F6" s="1" t="n"/>
      <c r="G6" s="1" t="n"/>
      <c r="H6" s="1" t="n"/>
      <c r="I6" s="1" t="n"/>
      <c r="J6" s="1" t="n"/>
      <c r="K6" s="1" t="n"/>
      <c r="L6" s="1" t="n"/>
      <c r="M6" s="1" t="n"/>
      <c r="N6" s="1" t="n"/>
      <c r="O6" s="1" t="n"/>
      <c r="P6" s="1" t="n"/>
      <c r="Q6" s="1" t="n"/>
      <c r="R6" s="1" t="n"/>
      <c r="S6" s="1" t="n"/>
      <c r="T6" s="1" t="n"/>
      <c r="U6" s="1" t="n"/>
      <c r="V6" s="1" t="n"/>
      <c r="W6" s="1" t="n"/>
      <c r="X6" s="1" t="n"/>
    </row>
    <row r="7" ht="18" customHeight="1" s="124">
      <c r="A7" s="1" t="n"/>
      <c r="B7" s="1" t="inlineStr">
        <is>
          <t>■スキルシート</t>
        </is>
      </c>
      <c r="C7" s="1" t="n"/>
      <c r="D7" s="1" t="n"/>
      <c r="E7" s="1" t="n"/>
      <c r="F7" s="1" t="n"/>
      <c r="G7" s="1" t="n"/>
      <c r="H7" s="1" t="n"/>
      <c r="I7" s="1" t="n"/>
      <c r="J7" s="1" t="n"/>
      <c r="K7" s="1" t="n"/>
      <c r="L7" s="1" t="n"/>
      <c r="M7" s="77" t="inlineStr">
        <is>
          <t>◎：3年以上</t>
        </is>
      </c>
      <c r="N7" s="1" t="n"/>
      <c r="O7" s="1" t="n"/>
      <c r="P7" s="1" t="inlineStr">
        <is>
          <t>〇：1年以上</t>
        </is>
      </c>
      <c r="Q7" s="1" t="n"/>
      <c r="R7" s="1" t="n"/>
      <c r="S7" s="1" t="inlineStr">
        <is>
          <t>△：勉強したことがある</t>
        </is>
      </c>
      <c r="T7" s="1" t="n"/>
      <c r="U7" s="1" t="n"/>
      <c r="V7" s="1" t="n"/>
      <c r="W7" s="1" t="n"/>
      <c r="X7" s="1" t="n"/>
    </row>
    <row r="8" ht="18" customHeight="1" s="124">
      <c r="A8" s="1" t="n"/>
      <c r="B8" s="1" t="n"/>
      <c r="C8" s="1" t="n"/>
      <c r="D8" s="1" t="n"/>
      <c r="E8" s="1" t="n"/>
      <c r="F8" s="1" t="n"/>
      <c r="G8" s="1" t="n"/>
      <c r="H8" s="1" t="n"/>
      <c r="I8" s="1" t="n"/>
      <c r="J8" s="1" t="n"/>
      <c r="K8" s="1" t="n"/>
      <c r="L8" s="1" t="n"/>
      <c r="M8" s="1" t="n"/>
      <c r="N8" s="1" t="n"/>
      <c r="O8" s="1" t="n"/>
      <c r="P8" s="1" t="n"/>
      <c r="Q8" s="1" t="n"/>
      <c r="R8" s="1" t="n"/>
      <c r="S8" s="1" t="n"/>
      <c r="T8" s="1" t="n"/>
      <c r="U8" s="1" t="n"/>
      <c r="V8" s="1" t="n"/>
      <c r="W8" s="1" t="n"/>
      <c r="X8" s="1" t="n"/>
      <c r="Y8" s="1" t="n"/>
    </row>
    <row r="9" ht="18" customHeight="1" s="124">
      <c r="A9" s="1" t="n"/>
      <c r="B9" s="137" t="inlineStr">
        <is>
          <t>OS</t>
        </is>
      </c>
      <c r="C9" s="139" t="n"/>
      <c r="D9" s="78" t="inlineStr">
        <is>
          <t>Windows</t>
        </is>
      </c>
      <c r="E9" s="126" t="n"/>
      <c r="F9" s="127" t="n"/>
      <c r="G9" s="78" t="inlineStr">
        <is>
          <t>◎</t>
        </is>
      </c>
      <c r="H9" s="78" t="inlineStr">
        <is>
          <t>Linux</t>
        </is>
      </c>
      <c r="I9" s="126" t="n"/>
      <c r="J9" s="127" t="n"/>
      <c r="K9" s="78" t="inlineStr">
        <is>
          <t>◎</t>
        </is>
      </c>
      <c r="L9" s="78" t="n"/>
      <c r="M9" s="126" t="n"/>
      <c r="N9" s="127" t="n"/>
      <c r="O9" s="78" t="n"/>
      <c r="P9" s="78" t="n"/>
      <c r="Q9" s="126" t="n"/>
      <c r="R9" s="127" t="n"/>
      <c r="S9" s="78" t="n"/>
      <c r="T9" s="78" t="n"/>
      <c r="U9" s="126" t="n"/>
      <c r="V9" s="127" t="n"/>
      <c r="W9" s="79" t="n"/>
      <c r="X9" s="1" t="n"/>
      <c r="Y9" s="1" t="n"/>
    </row>
    <row r="10" ht="18" customHeight="1" s="124">
      <c r="A10" s="1" t="n"/>
      <c r="B10" s="186" t="n"/>
      <c r="C10" s="130" t="n"/>
      <c r="D10" s="81" t="inlineStr">
        <is>
          <t>macOS</t>
        </is>
      </c>
      <c r="E10" s="189" t="n"/>
      <c r="F10" s="190" t="n"/>
      <c r="G10" s="32" t="inlineStr">
        <is>
          <t>△</t>
        </is>
      </c>
      <c r="H10" s="81" t="inlineStr">
        <is>
          <t>Unix</t>
        </is>
      </c>
      <c r="I10" s="189" t="n"/>
      <c r="J10" s="190" t="n"/>
      <c r="K10" s="78" t="inlineStr">
        <is>
          <t>◎</t>
        </is>
      </c>
      <c r="L10" s="81" t="n"/>
      <c r="M10" s="189" t="n"/>
      <c r="N10" s="190" t="n"/>
      <c r="O10" s="81" t="n"/>
      <c r="P10" s="81" t="n"/>
      <c r="Q10" s="189" t="n"/>
      <c r="R10" s="190" t="n"/>
      <c r="S10" s="81" t="n"/>
      <c r="T10" s="81" t="n"/>
      <c r="U10" s="189" t="n"/>
      <c r="V10" s="190" t="n"/>
      <c r="W10" s="82" t="n"/>
      <c r="X10" s="1" t="n"/>
      <c r="Y10" s="1" t="n"/>
    </row>
    <row r="11" ht="18" customHeight="1" s="124">
      <c r="A11" s="1" t="n"/>
      <c r="B11" s="133" t="n"/>
      <c r="C11" s="135" t="n"/>
      <c r="D11" s="84" t="n"/>
      <c r="E11" s="134" t="n"/>
      <c r="F11" s="135" t="n"/>
      <c r="G11" s="84" t="n"/>
      <c r="H11" s="84" t="n"/>
      <c r="I11" s="134" t="n"/>
      <c r="J11" s="135" t="n"/>
      <c r="K11" s="84" t="n"/>
      <c r="L11" s="84" t="n"/>
      <c r="M11" s="134" t="n"/>
      <c r="N11" s="135" t="n"/>
      <c r="O11" s="84" t="n"/>
      <c r="P11" s="84" t="n"/>
      <c r="Q11" s="134" t="n"/>
      <c r="R11" s="135" t="n"/>
      <c r="S11" s="84" t="n"/>
      <c r="T11" s="84" t="n"/>
      <c r="U11" s="134" t="n"/>
      <c r="V11" s="135" t="n"/>
      <c r="W11" s="85" t="n"/>
      <c r="X11" s="1" t="n"/>
      <c r="Y11" s="1" t="n"/>
    </row>
    <row r="12" ht="18" customHeight="1" s="124">
      <c r="A12" s="1" t="n"/>
      <c r="B12" s="137" t="inlineStr">
        <is>
          <t>言語</t>
        </is>
      </c>
      <c r="C12" s="139" t="n"/>
      <c r="D12" s="78" t="inlineStr">
        <is>
          <t>Java</t>
        </is>
      </c>
      <c r="E12" s="126" t="n"/>
      <c r="F12" s="127" t="n"/>
      <c r="G12" s="32" t="inlineStr">
        <is>
          <t>△</t>
        </is>
      </c>
      <c r="H12" s="81" t="inlineStr">
        <is>
          <t>VBA</t>
        </is>
      </c>
      <c r="I12" s="189" t="n"/>
      <c r="J12" s="190" t="n"/>
      <c r="K12" s="32" t="inlineStr">
        <is>
          <t>△</t>
        </is>
      </c>
      <c r="L12" s="78" t="n"/>
      <c r="M12" s="126" t="n"/>
      <c r="N12" s="127" t="n"/>
      <c r="O12" s="78" t="n"/>
      <c r="P12" s="78" t="n"/>
      <c r="Q12" s="126" t="n"/>
      <c r="R12" s="127" t="n"/>
      <c r="S12" s="26" t="n"/>
      <c r="T12" s="78" t="n"/>
      <c r="U12" s="126" t="n"/>
      <c r="V12" s="127" t="n"/>
      <c r="W12" s="25" t="n"/>
      <c r="X12" s="1" t="n"/>
      <c r="Y12" s="1" t="n"/>
    </row>
    <row r="13" ht="18" customHeight="1" s="124">
      <c r="A13" s="1" t="n"/>
      <c r="B13" s="186" t="n"/>
      <c r="C13" s="130" t="n"/>
      <c r="D13" s="81" t="inlineStr">
        <is>
          <t>PHP</t>
        </is>
      </c>
      <c r="E13" s="189" t="n"/>
      <c r="F13" s="190" t="n"/>
      <c r="G13" s="32" t="inlineStr">
        <is>
          <t>△</t>
        </is>
      </c>
      <c r="H13" s="81" t="inlineStr">
        <is>
          <t>SQL</t>
        </is>
      </c>
      <c r="I13" s="189" t="n"/>
      <c r="J13" s="190" t="n"/>
      <c r="K13" s="78" t="inlineStr">
        <is>
          <t>◎</t>
        </is>
      </c>
      <c r="L13" s="81" t="n"/>
      <c r="M13" s="189" t="n"/>
      <c r="N13" s="190" t="n"/>
      <c r="O13" s="86" t="n"/>
      <c r="P13" s="81" t="n"/>
      <c r="Q13" s="189" t="n"/>
      <c r="R13" s="190" t="n"/>
      <c r="S13" s="86" t="n"/>
      <c r="T13" s="81" t="n"/>
      <c r="U13" s="189" t="n"/>
      <c r="V13" s="190" t="n"/>
      <c r="W13" s="87" t="n"/>
      <c r="X13" s="1" t="n"/>
    </row>
    <row r="14" ht="18" customHeight="1" s="124">
      <c r="A14" s="1" t="n"/>
      <c r="B14" s="186" t="n"/>
      <c r="C14" s="130" t="n"/>
      <c r="D14" s="81" t="inlineStr">
        <is>
          <t>CSS</t>
        </is>
      </c>
      <c r="E14" s="189" t="n"/>
      <c r="F14" s="190" t="n"/>
      <c r="G14" s="32" t="inlineStr">
        <is>
          <t>△</t>
        </is>
      </c>
      <c r="H14" s="81" t="inlineStr">
        <is>
          <t>Bash/Shell Script</t>
        </is>
      </c>
      <c r="I14" s="189" t="n"/>
      <c r="J14" s="190" t="n"/>
      <c r="K14" s="78" t="inlineStr">
        <is>
          <t>◎</t>
        </is>
      </c>
      <c r="L14" s="81" t="n"/>
      <c r="M14" s="189" t="n"/>
      <c r="N14" s="190" t="n"/>
      <c r="O14" s="81" t="n"/>
      <c r="P14" s="81" t="n"/>
      <c r="Q14" s="189" t="n"/>
      <c r="R14" s="190" t="n"/>
      <c r="S14" s="88" t="n"/>
      <c r="T14" s="81" t="n"/>
      <c r="U14" s="189" t="n"/>
      <c r="V14" s="190" t="n"/>
      <c r="W14" s="82" t="n"/>
      <c r="X14" s="1" t="n"/>
    </row>
    <row r="15" ht="18" customHeight="1" s="124">
      <c r="A15" s="1" t="n"/>
      <c r="B15" s="186" t="n"/>
      <c r="C15" s="130" t="n"/>
      <c r="D15" s="81" t="inlineStr">
        <is>
          <t>HTML</t>
        </is>
      </c>
      <c r="E15" s="189" t="n"/>
      <c r="F15" s="190" t="n"/>
      <c r="G15" s="32" t="inlineStr">
        <is>
          <t>△</t>
        </is>
      </c>
      <c r="H15" s="81" t="inlineStr">
        <is>
          <t>Java Script</t>
        </is>
      </c>
      <c r="I15" s="189" t="n"/>
      <c r="J15" s="190" t="n"/>
      <c r="K15" s="32" t="inlineStr">
        <is>
          <t>△</t>
        </is>
      </c>
      <c r="L15" s="81" t="n"/>
      <c r="M15" s="189" t="n"/>
      <c r="N15" s="190" t="n"/>
      <c r="O15" s="81" t="n"/>
      <c r="P15" s="81" t="n"/>
      <c r="Q15" s="189" t="n"/>
      <c r="R15" s="190" t="n"/>
      <c r="S15" s="88" t="n"/>
      <c r="T15" s="81" t="n"/>
      <c r="U15" s="189" t="n"/>
      <c r="V15" s="190" t="n"/>
      <c r="W15" s="89" t="n"/>
      <c r="X15" s="1" t="n"/>
    </row>
    <row r="16" ht="18" customHeight="1" s="124">
      <c r="A16" s="1" t="n"/>
      <c r="B16" s="186" t="n"/>
      <c r="C16" s="130" t="n"/>
      <c r="D16" s="81" t="inlineStr">
        <is>
          <t>Python</t>
        </is>
      </c>
      <c r="E16" s="189" t="n"/>
      <c r="F16" s="190" t="n"/>
      <c r="G16" s="78" t="inlineStr">
        <is>
          <t>◎</t>
        </is>
      </c>
      <c r="H16" s="81" t="n"/>
      <c r="I16" s="189" t="n"/>
      <c r="J16" s="190" t="n"/>
      <c r="K16" s="81" t="n"/>
      <c r="L16" s="81" t="n"/>
      <c r="M16" s="189" t="n"/>
      <c r="N16" s="190" t="n"/>
      <c r="O16" s="81" t="n"/>
      <c r="P16" s="81" t="n"/>
      <c r="Q16" s="189" t="n"/>
      <c r="R16" s="190" t="n"/>
      <c r="S16" s="88" t="n"/>
      <c r="T16" s="81" t="n"/>
      <c r="U16" s="189" t="n"/>
      <c r="V16" s="190" t="n"/>
      <c r="W16" s="89" t="n"/>
      <c r="X16" s="1" t="n"/>
    </row>
    <row r="17" ht="18" customHeight="1" s="124">
      <c r="A17" s="1" t="n"/>
      <c r="B17" s="133" t="n"/>
      <c r="C17" s="135" t="n"/>
      <c r="D17" s="97" t="n"/>
      <c r="E17" s="194" t="n"/>
      <c r="F17" s="195" t="n"/>
      <c r="G17" s="93" t="n"/>
      <c r="H17" s="97" t="n"/>
      <c r="I17" s="194" t="n"/>
      <c r="J17" s="195" t="n"/>
      <c r="K17" s="93" t="n"/>
      <c r="L17" s="97" t="n"/>
      <c r="M17" s="194" t="n"/>
      <c r="N17" s="195" t="n"/>
      <c r="O17" s="93" t="n"/>
      <c r="P17" s="97" t="n"/>
      <c r="Q17" s="194" t="n"/>
      <c r="R17" s="195" t="n"/>
      <c r="S17" s="93" t="n"/>
      <c r="T17" s="97" t="n"/>
      <c r="U17" s="194" t="n"/>
      <c r="V17" s="195" t="n"/>
      <c r="W17" s="94" t="n"/>
      <c r="X17" s="1" t="n"/>
    </row>
    <row r="18" ht="18" customHeight="1" s="124">
      <c r="A18" s="1" t="n"/>
      <c r="B18" s="137" t="inlineStr">
        <is>
          <t>FW</t>
        </is>
      </c>
      <c r="C18" s="139" t="n"/>
      <c r="D18" s="81" t="inlineStr">
        <is>
          <t>Flask</t>
        </is>
      </c>
      <c r="E18" s="189" t="n"/>
      <c r="F18" s="190" t="n"/>
      <c r="G18" s="78" t="inlineStr">
        <is>
          <t>◎</t>
        </is>
      </c>
      <c r="H18" s="78" t="inlineStr">
        <is>
          <t xml:space="preserve"> Apache Airflow</t>
        </is>
      </c>
      <c r="I18" s="126" t="n"/>
      <c r="J18" s="127" t="n"/>
      <c r="K18" s="81" t="inlineStr">
        <is>
          <t>◎</t>
        </is>
      </c>
      <c r="L18" s="78" t="inlineStr">
        <is>
          <t>SQLAlchemy</t>
        </is>
      </c>
      <c r="M18" s="126" t="n"/>
      <c r="N18" s="127" t="n"/>
      <c r="O18" s="93" t="inlineStr">
        <is>
          <t>△</t>
        </is>
      </c>
      <c r="P18" s="78" t="n"/>
      <c r="Q18" s="126" t="n"/>
      <c r="R18" s="127" t="n"/>
      <c r="S18" s="26" t="n"/>
      <c r="T18" s="78" t="n"/>
      <c r="U18" s="126" t="n"/>
      <c r="V18" s="127" t="n"/>
      <c r="W18" s="95" t="n"/>
      <c r="X18" s="1" t="n"/>
    </row>
    <row r="19" ht="18" customHeight="1" s="124">
      <c r="A19" s="1" t="n"/>
      <c r="B19" s="186" t="n"/>
      <c r="C19" s="130" t="n"/>
      <c r="D19" s="81" t="inlineStr">
        <is>
          <t>PySpark</t>
        </is>
      </c>
      <c r="E19" s="189" t="n"/>
      <c r="F19" s="190" t="n"/>
      <c r="G19" s="81" t="inlineStr">
        <is>
          <t>◎</t>
        </is>
      </c>
      <c r="H19" s="81" t="inlineStr">
        <is>
          <t>Kafka</t>
        </is>
      </c>
      <c r="I19" s="189" t="n"/>
      <c r="J19" s="190" t="n"/>
      <c r="K19" s="81" t="inlineStr">
        <is>
          <t>◎</t>
        </is>
      </c>
      <c r="L19" s="81" t="n"/>
      <c r="M19" s="189" t="n"/>
      <c r="N19" s="190" t="n"/>
      <c r="O19" s="81" t="n"/>
      <c r="P19" s="81" t="n"/>
      <c r="Q19" s="189" t="n"/>
      <c r="R19" s="190" t="n"/>
      <c r="S19" s="81" t="n"/>
      <c r="T19" s="81" t="n"/>
      <c r="U19" s="189" t="n"/>
      <c r="V19" s="190" t="n"/>
      <c r="W19" s="87" t="n"/>
      <c r="X19" s="1" t="n"/>
    </row>
    <row r="20" ht="18" customHeight="1" s="124">
      <c r="A20" s="1" t="n"/>
      <c r="B20" s="186" t="n"/>
      <c r="C20" s="130" t="n"/>
      <c r="D20" s="81" t="inlineStr">
        <is>
          <t>pandas</t>
        </is>
      </c>
      <c r="E20" s="189" t="n"/>
      <c r="F20" s="190" t="n"/>
      <c r="G20" s="81" t="inlineStr">
        <is>
          <t>◎</t>
        </is>
      </c>
      <c r="H20" s="81" t="inlineStr">
        <is>
          <t>TensorFlow/Keras</t>
        </is>
      </c>
      <c r="I20" s="189" t="n"/>
      <c r="J20" s="190" t="n"/>
      <c r="K20" s="81" t="inlineStr">
        <is>
          <t>〇</t>
        </is>
      </c>
      <c r="L20" s="81" t="n"/>
      <c r="M20" s="189" t="n"/>
      <c r="N20" s="190" t="n"/>
      <c r="O20" s="81" t="n"/>
      <c r="P20" s="81" t="n"/>
      <c r="Q20" s="189" t="n"/>
      <c r="R20" s="190" t="n"/>
      <c r="S20" s="81" t="n"/>
      <c r="T20" s="81" t="n"/>
      <c r="U20" s="189" t="n"/>
      <c r="V20" s="190" t="n"/>
      <c r="W20" s="87" t="n"/>
      <c r="X20" s="1" t="n"/>
    </row>
    <row r="21" ht="18" customHeight="1" s="124">
      <c r="A21" s="1" t="n"/>
      <c r="B21" s="186" t="n"/>
      <c r="C21" s="130" t="n"/>
      <c r="D21" s="81" t="inlineStr">
        <is>
          <t>numpy</t>
        </is>
      </c>
      <c r="E21" s="189" t="n"/>
      <c r="F21" s="190" t="n"/>
      <c r="G21" s="81" t="inlineStr">
        <is>
          <t>◎</t>
        </is>
      </c>
      <c r="H21" s="81" t="inlineStr">
        <is>
          <t xml:space="preserve"> PyTorch</t>
        </is>
      </c>
      <c r="I21" s="189" t="n"/>
      <c r="J21" s="190" t="n"/>
      <c r="K21" s="81" t="inlineStr">
        <is>
          <t>〇</t>
        </is>
      </c>
      <c r="L21" s="81" t="n"/>
      <c r="M21" s="189" t="n"/>
      <c r="N21" s="190" t="n"/>
      <c r="O21" s="81" t="n"/>
      <c r="P21" s="81" t="n"/>
      <c r="Q21" s="189" t="n"/>
      <c r="R21" s="190" t="n"/>
      <c r="S21" s="81" t="n"/>
      <c r="T21" s="81" t="n"/>
      <c r="U21" s="189" t="n"/>
      <c r="V21" s="190" t="n"/>
      <c r="W21" s="87" t="n"/>
      <c r="X21" s="1" t="n"/>
    </row>
    <row r="22" ht="18" customHeight="1" s="124">
      <c r="A22" s="1" t="n"/>
      <c r="B22" s="186" t="n"/>
      <c r="C22" s="130" t="n"/>
      <c r="D22" s="81" t="inlineStr">
        <is>
          <t>FastAPI</t>
        </is>
      </c>
      <c r="E22" s="189" t="n"/>
      <c r="F22" s="190" t="n"/>
      <c r="G22" s="81" t="inlineStr">
        <is>
          <t>〇</t>
        </is>
      </c>
      <c r="H22" s="81" t="inlineStr">
        <is>
          <t>scikit-learn</t>
        </is>
      </c>
      <c r="I22" s="189" t="n"/>
      <c r="J22" s="190" t="n"/>
      <c r="K22" s="81" t="inlineStr">
        <is>
          <t>〇</t>
        </is>
      </c>
      <c r="L22" s="81" t="n"/>
      <c r="M22" s="189" t="n"/>
      <c r="N22" s="190" t="n"/>
      <c r="O22" s="81" t="n"/>
      <c r="P22" s="81" t="n"/>
      <c r="Q22" s="189" t="n"/>
      <c r="R22" s="190" t="n"/>
      <c r="S22" s="81" t="n"/>
      <c r="T22" s="81" t="n"/>
      <c r="U22" s="189" t="n"/>
      <c r="V22" s="190" t="n"/>
      <c r="W22" s="85" t="n"/>
      <c r="X22" s="1" t="n"/>
    </row>
    <row r="23" ht="18" customHeight="1" s="124">
      <c r="A23" s="1" t="n"/>
      <c r="B23" s="133" t="n"/>
      <c r="C23" s="135" t="n"/>
      <c r="D23" s="97" t="inlineStr">
        <is>
          <t>SQLAlchemy</t>
        </is>
      </c>
      <c r="E23" s="194" t="n"/>
      <c r="F23" s="195" t="n"/>
      <c r="G23" s="93" t="inlineStr">
        <is>
          <t>〇</t>
        </is>
      </c>
      <c r="H23" s="97" t="inlineStr">
        <is>
          <t>LangChain</t>
        </is>
      </c>
      <c r="I23" s="194" t="n"/>
      <c r="J23" s="195" t="n"/>
      <c r="K23" s="93" t="inlineStr">
        <is>
          <t>△</t>
        </is>
      </c>
      <c r="L23" s="97" t="n"/>
      <c r="M23" s="194" t="n"/>
      <c r="N23" s="195" t="n"/>
      <c r="O23" s="93" t="n"/>
      <c r="P23" s="97" t="n"/>
      <c r="Q23" s="194" t="n"/>
      <c r="R23" s="195" t="n"/>
      <c r="S23" s="93" t="n"/>
      <c r="T23" s="97" t="n"/>
      <c r="U23" s="194" t="n"/>
      <c r="V23" s="195" t="n"/>
      <c r="W23" s="85" t="n"/>
      <c r="X23" s="1" t="n"/>
    </row>
    <row r="24" ht="18" customHeight="1" s="124">
      <c r="A24" s="1" t="n"/>
      <c r="B24" s="137" t="inlineStr">
        <is>
          <t>DB</t>
        </is>
      </c>
      <c r="C24" s="139" t="n"/>
      <c r="D24" s="78" t="inlineStr">
        <is>
          <t>MySQL</t>
        </is>
      </c>
      <c r="E24" s="126" t="n"/>
      <c r="F24" s="127" t="n"/>
      <c r="G24" s="78" t="inlineStr">
        <is>
          <t>〇</t>
        </is>
      </c>
      <c r="H24" s="78" t="inlineStr">
        <is>
          <t>SQL Server</t>
        </is>
      </c>
      <c r="I24" s="126" t="n"/>
      <c r="J24" s="127" t="n"/>
      <c r="K24" s="78" t="inlineStr">
        <is>
          <t>〇</t>
        </is>
      </c>
      <c r="L24" s="78" t="inlineStr">
        <is>
          <t>Oracle</t>
        </is>
      </c>
      <c r="M24" s="126" t="n"/>
      <c r="N24" s="127" t="n"/>
      <c r="O24" s="78" t="inlineStr">
        <is>
          <t>〇</t>
        </is>
      </c>
      <c r="P24" s="78" t="inlineStr">
        <is>
          <t>Snowflake</t>
        </is>
      </c>
      <c r="Q24" s="126" t="n"/>
      <c r="R24" s="127" t="n"/>
      <c r="S24" s="78" t="inlineStr">
        <is>
          <t>〇</t>
        </is>
      </c>
      <c r="T24" s="78" t="n"/>
      <c r="U24" s="126" t="n"/>
      <c r="V24" s="127" t="n"/>
      <c r="W24" s="95" t="n"/>
      <c r="X24" s="1" t="n"/>
    </row>
    <row r="25" ht="18" customHeight="1" s="124">
      <c r="A25" s="1" t="n"/>
      <c r="B25" s="133" t="n"/>
      <c r="C25" s="135" t="n"/>
      <c r="D25" s="97" t="inlineStr">
        <is>
          <t>PostgreSQL</t>
        </is>
      </c>
      <c r="E25" s="194" t="n"/>
      <c r="F25" s="195" t="n"/>
      <c r="G25" s="96" t="inlineStr">
        <is>
          <t>◎</t>
        </is>
      </c>
      <c r="H25" s="97" t="inlineStr">
        <is>
          <t>BigQuery</t>
        </is>
      </c>
      <c r="I25" s="194" t="n"/>
      <c r="J25" s="195" t="n"/>
      <c r="K25" s="96" t="inlineStr">
        <is>
          <t>◎</t>
        </is>
      </c>
      <c r="L25" s="97" t="inlineStr">
        <is>
          <t>SnowMongoDB Atlas</t>
        </is>
      </c>
      <c r="M25" s="194" t="n"/>
      <c r="N25" s="195" t="n"/>
      <c r="O25" s="93" t="inlineStr">
        <is>
          <t>〇</t>
        </is>
      </c>
      <c r="P25" s="97" t="inlineStr">
        <is>
          <t>Hive/Impala</t>
        </is>
      </c>
      <c r="Q25" s="194" t="n"/>
      <c r="R25" s="195" t="n"/>
      <c r="S25" s="96" t="inlineStr">
        <is>
          <t>◎</t>
        </is>
      </c>
      <c r="T25" s="97" t="n"/>
      <c r="U25" s="194" t="n"/>
      <c r="V25" s="195" t="n"/>
      <c r="W25" s="82" t="n"/>
      <c r="X25" s="1" t="n"/>
    </row>
    <row r="26" ht="18" customHeight="1" s="124">
      <c r="A26" s="1" t="n"/>
      <c r="B26" s="137" t="inlineStr">
        <is>
          <t>他</t>
        </is>
      </c>
      <c r="C26" s="139" t="n"/>
      <c r="D26" s="78" t="inlineStr">
        <is>
          <t>Docker</t>
        </is>
      </c>
      <c r="E26" s="126" t="n"/>
      <c r="F26" s="127" t="n"/>
      <c r="G26" s="78" t="inlineStr">
        <is>
          <t>◎</t>
        </is>
      </c>
      <c r="H26" s="78" t="inlineStr">
        <is>
          <t>Confluence</t>
        </is>
      </c>
      <c r="I26" s="126" t="n"/>
      <c r="J26" s="127" t="n"/>
      <c r="K26" s="81" t="inlineStr">
        <is>
          <t>◎</t>
        </is>
      </c>
      <c r="L26" s="78" t="inlineStr">
        <is>
          <t>Power BI</t>
        </is>
      </c>
      <c r="M26" s="126" t="n"/>
      <c r="N26" s="127" t="n"/>
      <c r="O26" s="78" t="inlineStr">
        <is>
          <t>◎</t>
        </is>
      </c>
      <c r="P26" s="78" t="inlineStr">
        <is>
          <t>Git</t>
        </is>
      </c>
      <c r="Q26" s="126" t="n"/>
      <c r="R26" s="127" t="n"/>
      <c r="S26" s="78" t="inlineStr">
        <is>
          <t>◎</t>
        </is>
      </c>
      <c r="T26" s="78" t="inlineStr">
        <is>
          <t>Hadoop</t>
        </is>
      </c>
      <c r="U26" s="126" t="n"/>
      <c r="V26" s="127" t="n"/>
      <c r="W26" s="95" t="inlineStr">
        <is>
          <t>〇</t>
        </is>
      </c>
      <c r="X26" s="1" t="n"/>
    </row>
    <row r="27" ht="18" customHeight="1" s="124">
      <c r="A27" s="1" t="n"/>
      <c r="B27" s="186" t="n"/>
      <c r="C27" s="130" t="n"/>
      <c r="D27" s="81" t="inlineStr">
        <is>
          <t>Apache</t>
        </is>
      </c>
      <c r="E27" s="189" t="n"/>
      <c r="F27" s="190" t="n"/>
      <c r="G27" s="96" t="inlineStr">
        <is>
          <t>◎</t>
        </is>
      </c>
      <c r="H27" s="81" t="inlineStr">
        <is>
          <t>Metabase</t>
        </is>
      </c>
      <c r="I27" s="189" t="n"/>
      <c r="J27" s="190" t="n"/>
      <c r="K27" s="96" t="inlineStr">
        <is>
          <t>◎</t>
        </is>
      </c>
      <c r="L27" s="81" t="inlineStr">
        <is>
          <t>GCP</t>
        </is>
      </c>
      <c r="M27" s="189" t="n"/>
      <c r="N27" s="190" t="n"/>
      <c r="O27" s="96" t="inlineStr">
        <is>
          <t>◎</t>
        </is>
      </c>
      <c r="P27" s="81" t="inlineStr">
        <is>
          <t>BitBucket CI/CD</t>
        </is>
      </c>
      <c r="Q27" s="189" t="n"/>
      <c r="R27" s="190" t="n"/>
      <c r="S27" s="96" t="inlineStr">
        <is>
          <t>◎</t>
        </is>
      </c>
      <c r="T27" s="81" t="inlineStr">
        <is>
          <t>Cloudera（CDH</t>
        </is>
      </c>
      <c r="U27" s="189" t="n"/>
      <c r="V27" s="190" t="n"/>
      <c r="W27" s="87" t="inlineStr">
        <is>
          <t>〇</t>
        </is>
      </c>
      <c r="X27" s="1" t="n"/>
    </row>
    <row r="28" ht="18" customHeight="1" s="124">
      <c r="A28" s="1" t="n"/>
      <c r="B28" s="133" t="n"/>
      <c r="C28" s="135" t="n"/>
      <c r="D28" s="97" t="inlineStr">
        <is>
          <t>Jira</t>
        </is>
      </c>
      <c r="E28" s="194" t="n"/>
      <c r="F28" s="195" t="n"/>
      <c r="G28" s="93" t="inlineStr">
        <is>
          <t>◎</t>
        </is>
      </c>
      <c r="H28" s="97" t="inlineStr">
        <is>
          <t>Tableau</t>
        </is>
      </c>
      <c r="I28" s="194" t="n"/>
      <c r="J28" s="195" t="n"/>
      <c r="K28" s="97" t="inlineStr">
        <is>
          <t>◎</t>
        </is>
      </c>
      <c r="L28" s="97" t="inlineStr">
        <is>
          <t>AWS</t>
        </is>
      </c>
      <c r="M28" s="194" t="n"/>
      <c r="N28" s="195" t="n"/>
      <c r="O28" s="97" t="inlineStr">
        <is>
          <t>〇</t>
        </is>
      </c>
      <c r="P28" s="97" t="inlineStr">
        <is>
          <t>Apache Kafka</t>
        </is>
      </c>
      <c r="Q28" s="194" t="n"/>
      <c r="R28" s="195" t="n"/>
      <c r="S28" s="97" t="inlineStr">
        <is>
          <t>〇</t>
        </is>
      </c>
      <c r="T28" s="97" t="inlineStr">
        <is>
          <t>Google Apps Script</t>
        </is>
      </c>
      <c r="U28" s="194" t="n"/>
      <c r="V28" s="195" t="n"/>
      <c r="W28" s="94" t="inlineStr">
        <is>
          <t>△</t>
        </is>
      </c>
      <c r="X28" s="1" t="n"/>
    </row>
    <row r="29" ht="18" customHeight="1" s="124">
      <c r="A29" s="1" t="n"/>
      <c r="B29" s="1" t="n"/>
      <c r="C29" s="1" t="n"/>
      <c r="D29" s="98" t="n"/>
      <c r="E29" s="98" t="n"/>
      <c r="F29" s="98" t="n"/>
      <c r="G29" s="1" t="n"/>
      <c r="H29" s="98" t="n"/>
      <c r="I29" s="98" t="n"/>
      <c r="J29" s="98" t="n"/>
      <c r="K29" s="1" t="n"/>
      <c r="L29" s="98" t="n"/>
      <c r="M29" s="98" t="n"/>
      <c r="N29" s="98" t="n"/>
      <c r="O29" s="1" t="n"/>
      <c r="P29" s="98" t="n"/>
      <c r="Q29" s="98" t="n"/>
      <c r="R29" s="98" t="n"/>
      <c r="S29" s="1" t="n"/>
      <c r="T29" s="1" t="n"/>
      <c r="U29" s="1" t="n"/>
      <c r="V29" s="1" t="n"/>
      <c r="W29" s="1" t="n"/>
      <c r="X29" s="1" t="n"/>
    </row>
    <row r="30" ht="18" customHeight="1" s="124">
      <c r="A30" s="1" t="n"/>
      <c r="B30" s="1" t="inlineStr">
        <is>
          <t>■経験</t>
        </is>
      </c>
      <c r="C30" s="1" t="n"/>
      <c r="D30" s="1" t="n"/>
      <c r="E30" s="1" t="n"/>
      <c r="F30" s="1" t="n"/>
      <c r="G30" s="1" t="n"/>
      <c r="H30" s="1" t="n"/>
      <c r="I30" s="1" t="n"/>
      <c r="J30" s="1" t="n"/>
      <c r="K30" s="1" t="n"/>
      <c r="L30" s="1" t="n"/>
      <c r="M30" s="1" t="n"/>
      <c r="N30" s="1" t="n"/>
      <c r="O30" s="1" t="n"/>
      <c r="P30" s="1" t="n"/>
      <c r="Q30" s="1" t="n"/>
      <c r="R30" s="1" t="n"/>
      <c r="S30" s="1" t="inlineStr">
        <is>
          <t>■作業経験</t>
        </is>
      </c>
      <c r="T30" s="1" t="n"/>
      <c r="U30" s="1" t="n"/>
      <c r="V30" s="1" t="n"/>
      <c r="W30" s="1" t="n"/>
      <c r="X30" s="1" t="n"/>
    </row>
    <row r="31" ht="18" customHeight="1" s="124">
      <c r="A31" s="1" t="n"/>
      <c r="B31" s="1" t="n"/>
      <c r="C31" s="1" t="n"/>
      <c r="D31" s="1" t="n"/>
      <c r="E31" s="1" t="n"/>
      <c r="F31" s="1" t="n"/>
      <c r="G31" s="1" t="n"/>
      <c r="H31" s="1" t="n"/>
      <c r="I31" s="1" t="n"/>
      <c r="J31" s="1" t="n"/>
      <c r="K31" s="1" t="n"/>
      <c r="L31" s="1" t="n"/>
      <c r="M31" s="1" t="n"/>
      <c r="N31" s="1" t="n"/>
      <c r="O31" s="1" t="n"/>
      <c r="P31" s="1" t="n"/>
      <c r="Q31" s="1" t="n"/>
      <c r="R31" s="1" t="n"/>
      <c r="S31" s="32" t="n"/>
      <c r="T31" s="32" t="n"/>
      <c r="U31" s="32" t="n"/>
      <c r="V31" s="32" t="n"/>
      <c r="W31" s="32" t="n"/>
      <c r="X31" s="1" t="n"/>
    </row>
    <row r="32" ht="18" customHeight="1" s="124">
      <c r="A32" s="1" t="n"/>
      <c r="B32" s="99" t="inlineStr">
        <is>
          <t>得意分野</t>
        </is>
      </c>
      <c r="C32" s="150" t="n"/>
      <c r="D32" s="99" t="inlineStr">
        <is>
          <t>：</t>
        </is>
      </c>
      <c r="E32" s="100" t="inlineStr">
        <is>
          <t>データエンジニアリングおよびAI/MLシステムの構築（ETLパイプライン設計、MLOpsデプロイ、GCP・AWSでのクラウド基盤構築）</t>
        </is>
      </c>
      <c r="F32" s="150" t="n"/>
      <c r="G32" s="150" t="n"/>
      <c r="H32" s="150" t="n"/>
      <c r="I32" s="150" t="n"/>
      <c r="J32" s="150" t="n"/>
      <c r="K32" s="150" t="n"/>
      <c r="L32" s="150" t="n"/>
      <c r="M32" s="150" t="n"/>
      <c r="N32" s="150" t="n"/>
      <c r="O32" s="150" t="n"/>
      <c r="P32" s="150" t="n"/>
      <c r="Q32" s="150" t="n"/>
      <c r="R32" s="1" t="n"/>
      <c r="S32" s="125" t="inlineStr">
        <is>
          <t>要件定義</t>
        </is>
      </c>
      <c r="T32" s="126" t="n"/>
      <c r="U32" s="127" t="n"/>
      <c r="V32" s="95" t="inlineStr">
        <is>
          <t>◎</t>
        </is>
      </c>
      <c r="W32" s="128" t="n"/>
      <c r="X32" s="1" t="n"/>
    </row>
    <row r="33" ht="18" customHeight="1" s="124">
      <c r="A33" s="1" t="n"/>
      <c r="B33" s="32" t="n"/>
      <c r="C33" s="32" t="n"/>
      <c r="D33" s="32" t="n"/>
      <c r="E33" s="73" t="n"/>
      <c r="F33" s="189" t="n"/>
      <c r="G33" s="189" t="n"/>
      <c r="H33" s="189" t="n"/>
      <c r="I33" s="189" t="n"/>
      <c r="J33" s="189" t="n"/>
      <c r="K33" s="189" t="n"/>
      <c r="L33" s="189" t="n"/>
      <c r="M33" s="189" t="n"/>
      <c r="N33" s="189" t="n"/>
      <c r="O33" s="189" t="n"/>
      <c r="P33" s="189" t="n"/>
      <c r="Q33" s="189" t="n"/>
      <c r="R33" s="1" t="n"/>
      <c r="S33" s="188" t="inlineStr">
        <is>
          <t>基本設計</t>
        </is>
      </c>
      <c r="T33" s="189" t="n"/>
      <c r="U33" s="190" t="n"/>
      <c r="V33" s="87" t="inlineStr">
        <is>
          <t>◎</t>
        </is>
      </c>
      <c r="W33" s="191" t="n"/>
      <c r="X33" s="1" t="n"/>
    </row>
    <row r="34" ht="18" customHeight="1" s="124">
      <c r="A34" s="1" t="n"/>
      <c r="B34" s="32" t="n"/>
      <c r="C34" s="32" t="n"/>
      <c r="D34" s="32" t="n"/>
      <c r="E34" s="73" t="n"/>
      <c r="F34" s="189" t="n"/>
      <c r="G34" s="189" t="n"/>
      <c r="H34" s="189" t="n"/>
      <c r="I34" s="189" t="n"/>
      <c r="J34" s="189" t="n"/>
      <c r="K34" s="189" t="n"/>
      <c r="L34" s="189" t="n"/>
      <c r="M34" s="189" t="n"/>
      <c r="N34" s="189" t="n"/>
      <c r="O34" s="189" t="n"/>
      <c r="P34" s="189" t="n"/>
      <c r="Q34" s="189" t="n"/>
      <c r="R34" s="1" t="n"/>
      <c r="S34" s="188" t="inlineStr">
        <is>
          <t>機能設計</t>
        </is>
      </c>
      <c r="T34" s="189" t="n"/>
      <c r="U34" s="190" t="n"/>
      <c r="V34" s="87" t="inlineStr">
        <is>
          <t>◎</t>
        </is>
      </c>
      <c r="W34" s="191" t="n"/>
      <c r="X34" s="1" t="n"/>
    </row>
    <row r="35" ht="18" customHeight="1" s="124">
      <c r="A35" s="1" t="n"/>
      <c r="B35" s="1" t="n"/>
      <c r="C35" s="1" t="n"/>
      <c r="D35" s="1" t="n"/>
      <c r="E35" s="101" t="n"/>
      <c r="F35" s="101" t="n"/>
      <c r="G35" s="101" t="n"/>
      <c r="H35" s="101" t="n"/>
      <c r="I35" s="101" t="n"/>
      <c r="J35" s="101" t="n"/>
      <c r="K35" s="101" t="n"/>
      <c r="L35" s="101" t="n"/>
      <c r="M35" s="101" t="n"/>
      <c r="N35" s="101" t="n"/>
      <c r="O35" s="101" t="n"/>
      <c r="P35" s="101" t="n"/>
      <c r="Q35" s="101" t="n"/>
      <c r="R35" s="1" t="n"/>
      <c r="S35" s="188" t="inlineStr">
        <is>
          <t>詳細設計</t>
        </is>
      </c>
      <c r="T35" s="189" t="n"/>
      <c r="U35" s="190" t="n"/>
      <c r="V35" s="87" t="inlineStr">
        <is>
          <t>◎</t>
        </is>
      </c>
      <c r="W35" s="191" t="n"/>
      <c r="X35" s="1" t="n"/>
    </row>
    <row r="36" ht="18" customHeight="1" s="124">
      <c r="A36" s="1" t="n"/>
      <c r="B36" s="99" t="inlineStr">
        <is>
          <t>得意技術</t>
        </is>
      </c>
      <c r="C36" s="150" t="n"/>
      <c r="D36" s="99" t="inlineStr">
        <is>
          <t>：</t>
        </is>
      </c>
      <c r="E36" s="100" t="inlineStr">
        <is>
          <t>Python、SQL、PySpark、TensorFlow/Keras、FastAPI、GCP（BigQuery・Vertex AI・Cloud Run）、AWS（S3・EC2・Lambda）、Apache Airflow、Docker、Kubernetes</t>
        </is>
      </c>
      <c r="F36" s="150" t="n"/>
      <c r="G36" s="150" t="n"/>
      <c r="H36" s="150" t="n"/>
      <c r="I36" s="150" t="n"/>
      <c r="J36" s="150" t="n"/>
      <c r="K36" s="150" t="n"/>
      <c r="L36" s="150" t="n"/>
      <c r="M36" s="150" t="n"/>
      <c r="N36" s="150" t="n"/>
      <c r="O36" s="150" t="n"/>
      <c r="P36" s="150" t="n"/>
      <c r="Q36" s="150" t="n"/>
      <c r="R36" s="1" t="n"/>
      <c r="S36" s="188" t="inlineStr">
        <is>
          <t>コーディング</t>
        </is>
      </c>
      <c r="T36" s="189" t="n"/>
      <c r="U36" s="190" t="n"/>
      <c r="V36" s="87" t="inlineStr">
        <is>
          <t>◎</t>
        </is>
      </c>
      <c r="W36" s="191" t="n"/>
      <c r="X36" s="1" t="n"/>
    </row>
    <row r="37" ht="18" customHeight="1" s="124">
      <c r="A37" s="1" t="n"/>
      <c r="B37" s="32" t="n"/>
      <c r="C37" s="32" t="n"/>
      <c r="D37" s="32" t="n"/>
      <c r="E37" s="73" t="n"/>
      <c r="F37" s="189" t="n"/>
      <c r="G37" s="189" t="n"/>
      <c r="H37" s="189" t="n"/>
      <c r="I37" s="189" t="n"/>
      <c r="J37" s="189" t="n"/>
      <c r="K37" s="189" t="n"/>
      <c r="L37" s="189" t="n"/>
      <c r="M37" s="189" t="n"/>
      <c r="N37" s="189" t="n"/>
      <c r="O37" s="189" t="n"/>
      <c r="P37" s="189" t="n"/>
      <c r="Q37" s="189" t="n"/>
      <c r="R37" s="1" t="n"/>
      <c r="S37" s="188" t="inlineStr">
        <is>
          <t>単体テスト</t>
        </is>
      </c>
      <c r="T37" s="189" t="n"/>
      <c r="U37" s="190" t="n"/>
      <c r="V37" s="87" t="inlineStr">
        <is>
          <t>◎</t>
        </is>
      </c>
      <c r="W37" s="191" t="n"/>
      <c r="X37" s="1" t="n"/>
    </row>
    <row r="38" ht="18" customHeight="1" s="124">
      <c r="A38" s="1" t="n"/>
      <c r="B38" s="32" t="n"/>
      <c r="C38" s="32" t="n"/>
      <c r="D38" s="32" t="n"/>
      <c r="E38" s="73" t="n"/>
      <c r="F38" s="189" t="n"/>
      <c r="G38" s="189" t="n"/>
      <c r="H38" s="189" t="n"/>
      <c r="I38" s="189" t="n"/>
      <c r="J38" s="189" t="n"/>
      <c r="K38" s="189" t="n"/>
      <c r="L38" s="189" t="n"/>
      <c r="M38" s="189" t="n"/>
      <c r="N38" s="189" t="n"/>
      <c r="O38" s="189" t="n"/>
      <c r="P38" s="189" t="n"/>
      <c r="Q38" s="189" t="n"/>
      <c r="R38" s="1" t="n"/>
      <c r="S38" s="188" t="inlineStr">
        <is>
          <t>結合テスト</t>
        </is>
      </c>
      <c r="T38" s="189" t="n"/>
      <c r="U38" s="190" t="n"/>
      <c r="V38" s="87" t="inlineStr">
        <is>
          <t>◎</t>
        </is>
      </c>
      <c r="W38" s="191" t="n"/>
      <c r="X38" s="1" t="n"/>
    </row>
    <row r="39" ht="18" customHeight="1" s="124">
      <c r="A39" s="1" t="n"/>
      <c r="B39" s="32" t="n"/>
      <c r="C39" s="32" t="n"/>
      <c r="D39" s="32" t="n"/>
      <c r="E39" s="102" t="n"/>
      <c r="F39" s="102" t="n"/>
      <c r="G39" s="102" t="n"/>
      <c r="H39" s="102" t="n"/>
      <c r="I39" s="102" t="n"/>
      <c r="J39" s="102" t="n"/>
      <c r="K39" s="102" t="n"/>
      <c r="L39" s="102" t="n"/>
      <c r="M39" s="102" t="n"/>
      <c r="N39" s="102" t="n"/>
      <c r="O39" s="102" t="n"/>
      <c r="P39" s="102" t="n"/>
      <c r="Q39" s="102" t="n"/>
      <c r="R39" s="1" t="n"/>
      <c r="S39" s="188" t="inlineStr">
        <is>
          <t>総合テスト</t>
        </is>
      </c>
      <c r="T39" s="189" t="n"/>
      <c r="U39" s="190" t="n"/>
      <c r="V39" s="87" t="inlineStr">
        <is>
          <t>〇</t>
        </is>
      </c>
      <c r="W39" s="191" t="n"/>
      <c r="X39" s="1" t="n"/>
    </row>
    <row r="40" ht="18" customHeight="1" s="124">
      <c r="A40" s="1" t="n"/>
      <c r="B40" s="99" t="inlineStr">
        <is>
          <t>その他</t>
        </is>
      </c>
      <c r="C40" s="150" t="n"/>
      <c r="D40" s="99" t="inlineStr">
        <is>
          <t>：</t>
        </is>
      </c>
      <c r="E40" s="100" t="inlineStr">
        <is>
          <t>BI・データ可視化（Metabase・Looker Studio・Tableau）、データクレンジング、API統合（REST API）、プロジェクト管理（Jira・Confluence）、ブロックチェーン基礎知識</t>
        </is>
      </c>
      <c r="F40" s="150" t="n"/>
      <c r="G40" s="150" t="n"/>
      <c r="H40" s="150" t="n"/>
      <c r="I40" s="150" t="n"/>
      <c r="J40" s="150" t="n"/>
      <c r="K40" s="150" t="n"/>
      <c r="L40" s="150" t="n"/>
      <c r="M40" s="150" t="n"/>
      <c r="N40" s="150" t="n"/>
      <c r="O40" s="150" t="n"/>
      <c r="P40" s="150" t="n"/>
      <c r="Q40" s="150" t="n"/>
      <c r="R40" s="1" t="n"/>
      <c r="S40" s="188" t="inlineStr">
        <is>
          <t>受入テスト</t>
        </is>
      </c>
      <c r="T40" s="189" t="n"/>
      <c r="U40" s="190" t="n"/>
      <c r="V40" s="87" t="inlineStr">
        <is>
          <t>〇</t>
        </is>
      </c>
      <c r="W40" s="191" t="n"/>
      <c r="X40" s="1" t="n"/>
    </row>
    <row r="41" ht="18" customHeight="1" s="124">
      <c r="A41" s="1" t="n"/>
      <c r="B41" s="32" t="n"/>
      <c r="C41" s="32" t="n"/>
      <c r="D41" s="32" t="n"/>
      <c r="E41" s="73" t="n"/>
      <c r="F41" s="189" t="n"/>
      <c r="G41" s="189" t="n"/>
      <c r="H41" s="189" t="n"/>
      <c r="I41" s="189" t="n"/>
      <c r="J41" s="189" t="n"/>
      <c r="K41" s="189" t="n"/>
      <c r="L41" s="189" t="n"/>
      <c r="M41" s="189" t="n"/>
      <c r="N41" s="189" t="n"/>
      <c r="O41" s="189" t="n"/>
      <c r="P41" s="189" t="n"/>
      <c r="Q41" s="189" t="n"/>
      <c r="R41" s="1" t="n"/>
      <c r="S41" s="188" t="inlineStr">
        <is>
          <t>保守</t>
        </is>
      </c>
      <c r="T41" s="189" t="n"/>
      <c r="U41" s="190" t="n"/>
      <c r="V41" s="87" t="inlineStr">
        <is>
          <t>〇</t>
        </is>
      </c>
      <c r="W41" s="191" t="n"/>
      <c r="X41" s="1" t="n"/>
    </row>
    <row r="42" ht="18" customHeight="1" s="124">
      <c r="A42" s="1" t="n"/>
      <c r="B42" s="1" t="n"/>
      <c r="C42" s="1" t="n"/>
      <c r="D42" s="1" t="n"/>
      <c r="E42" s="73" t="n"/>
      <c r="F42" s="189" t="n"/>
      <c r="G42" s="189" t="n"/>
      <c r="H42" s="189" t="n"/>
      <c r="I42" s="189" t="n"/>
      <c r="J42" s="189" t="n"/>
      <c r="K42" s="189" t="n"/>
      <c r="L42" s="189" t="n"/>
      <c r="M42" s="189" t="n"/>
      <c r="N42" s="189" t="n"/>
      <c r="O42" s="189" t="n"/>
      <c r="P42" s="189" t="n"/>
      <c r="Q42" s="189" t="n"/>
      <c r="R42" s="1" t="n"/>
      <c r="S42" s="192" t="inlineStr">
        <is>
          <t>教育</t>
        </is>
      </c>
      <c r="T42" s="194" t="n"/>
      <c r="U42" s="195" t="n"/>
      <c r="V42" s="94" t="inlineStr">
        <is>
          <t>〇</t>
        </is>
      </c>
      <c r="W42" s="196" t="n"/>
      <c r="X42" s="1" t="n"/>
    </row>
    <row r="43" ht="18" customHeight="1" s="124">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row>
    <row r="44" ht="18" customHeight="1" s="124">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row>
    <row r="45" ht="18" customHeight="1" s="124">
      <c r="A45" s="1" t="n"/>
      <c r="B45" s="1" t="inlineStr">
        <is>
          <t>■職務経歴</t>
        </is>
      </c>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row>
    <row r="46" ht="18" customHeight="1" s="124">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row>
    <row r="47" ht="18" customHeight="1" s="124">
      <c r="A47" s="1" t="n"/>
      <c r="B47" s="197" t="inlineStr">
        <is>
          <t>会社名</t>
        </is>
      </c>
      <c r="C47" s="139" t="n"/>
      <c r="D47" s="78">
        <f>'履歴書'!H39</f>
        <v/>
      </c>
      <c r="E47" s="126" t="n"/>
      <c r="F47" s="126" t="n"/>
      <c r="G47" s="126" t="n"/>
      <c r="H47" s="126" t="n"/>
      <c r="I47" s="126" t="n"/>
      <c r="J47" s="126" t="n"/>
      <c r="K47" s="126" t="n"/>
      <c r="L47" s="127" t="n"/>
      <c r="M47" s="198" t="inlineStr">
        <is>
          <t>雇用形態</t>
        </is>
      </c>
      <c r="N47" s="127" t="n"/>
      <c r="O47" s="95">
        <f>'履歴書'!U39</f>
        <v/>
      </c>
      <c r="P47" s="126" t="n"/>
      <c r="Q47" s="126" t="n"/>
      <c r="R47" s="126" t="n"/>
      <c r="S47" s="126" t="n"/>
      <c r="T47" s="126" t="n"/>
      <c r="U47" s="126" t="n"/>
      <c r="V47" s="126" t="n"/>
      <c r="W47" s="128" t="n"/>
      <c r="X47" s="1" t="n"/>
    </row>
    <row r="48" ht="18" customHeight="1" s="124">
      <c r="A48" s="1" t="n"/>
      <c r="B48" s="199" t="inlineStr">
        <is>
          <t>入社年月</t>
        </is>
      </c>
      <c r="C48" s="195" t="n"/>
      <c r="D48" s="167">
        <f>IF(NOT(OR(ISBLANK('履歴書'!B39),ISERROR(VALUE('履歴書'!B39)))),'履歴書'!B39,"")</f>
        <v/>
      </c>
      <c r="E48" s="194" t="n"/>
      <c r="F48" s="194" t="n"/>
      <c r="G48" s="194" t="n"/>
      <c r="H48" s="195" t="n"/>
      <c r="I48" s="200" t="inlineStr">
        <is>
          <t>退職年月</t>
        </is>
      </c>
      <c r="J48" s="130" t="n"/>
      <c r="K48" s="201">
        <f>IF(NOT(OR(ISBLANK('履歴書'!E39),ISERROR(VALUE('履歴書'!E39)))),'履歴書'!E39,"")</f>
        <v/>
      </c>
      <c r="O48" s="132" t="n"/>
      <c r="P48" s="202" t="inlineStr">
        <is>
          <t>在籍年月</t>
        </is>
      </c>
      <c r="Q48" s="195" t="n"/>
      <c r="R48" s="94">
        <f>DATEDIF(D48,K48,"Y")&amp;"年"&amp;DATEDIF(D48,K48,"YM")&amp;"ヶ月"</f>
        <v/>
      </c>
      <c r="S48" s="194" t="n"/>
      <c r="T48" s="194" t="n"/>
      <c r="U48" s="194" t="n"/>
      <c r="V48" s="194" t="n"/>
      <c r="W48" s="196" t="n"/>
      <c r="X48" s="1" t="n"/>
    </row>
    <row r="49" ht="18" customHeight="1" s="124">
      <c r="A49" s="1" t="n"/>
      <c r="B49" s="203" t="inlineStr">
        <is>
          <t>No.</t>
        </is>
      </c>
      <c r="C49" s="203" t="inlineStr">
        <is>
          <t>期間</t>
        </is>
      </c>
      <c r="D49" s="141" t="n"/>
      <c r="E49" s="203" t="inlineStr">
        <is>
          <t>業務内容</t>
        </is>
      </c>
      <c r="F49" s="138" t="n"/>
      <c r="G49" s="138" t="n"/>
      <c r="H49" s="138" t="n"/>
      <c r="I49" s="138" t="n"/>
      <c r="J49" s="138" t="n"/>
      <c r="K49" s="138" t="n"/>
      <c r="L49" s="138" t="n"/>
      <c r="M49" s="138" t="n"/>
      <c r="N49" s="138" t="n"/>
      <c r="O49" s="138" t="n"/>
      <c r="P49" s="138" t="n"/>
      <c r="Q49" s="141" t="n"/>
      <c r="R49" s="204" t="inlineStr">
        <is>
          <t>言語・
フレームワーク</t>
        </is>
      </c>
      <c r="S49" s="138" t="n"/>
      <c r="T49" s="141" t="n"/>
      <c r="U49" s="203" t="inlineStr">
        <is>
          <t>OS・DB・ツール</t>
        </is>
      </c>
      <c r="V49" s="138" t="n"/>
      <c r="W49" s="141" t="n"/>
      <c r="X49" s="1" t="n"/>
    </row>
    <row r="50" ht="18" customHeight="1" s="124">
      <c r="A50" s="1" t="n"/>
      <c r="B50" s="205" t="n"/>
      <c r="C50" s="133" t="n"/>
      <c r="D50" s="136" t="n"/>
      <c r="E50" s="133" t="n"/>
      <c r="F50" s="134" t="n"/>
      <c r="G50" s="134" t="n"/>
      <c r="H50" s="134" t="n"/>
      <c r="I50" s="134" t="n"/>
      <c r="J50" s="134" t="n"/>
      <c r="K50" s="134" t="n"/>
      <c r="L50" s="134" t="n"/>
      <c r="M50" s="134" t="n"/>
      <c r="N50" s="134" t="n"/>
      <c r="O50" s="134" t="n"/>
      <c r="P50" s="134" t="n"/>
      <c r="Q50" s="136" t="n"/>
      <c r="R50" s="133" t="n"/>
      <c r="S50" s="134" t="n"/>
      <c r="T50" s="136" t="n"/>
      <c r="U50" s="133" t="n"/>
      <c r="V50" s="134" t="n"/>
      <c r="W50" s="136" t="n"/>
      <c r="X50" s="1" t="n"/>
    </row>
    <row r="51" ht="18" customHeight="1" s="124">
      <c r="A51" s="1" t="n"/>
      <c r="B51" s="203" t="n">
        <v>1</v>
      </c>
      <c r="C51" s="206" t="n">
        <v>45717</v>
      </c>
      <c r="D51" s="141" t="n"/>
      <c r="E51" s="207" t="inlineStr">
        <is>
          <t>【プロジェクト名】商品レコメンデーションシステム開発</t>
        </is>
      </c>
      <c r="F51" s="138" t="n"/>
      <c r="G51" s="138" t="n"/>
      <c r="H51" s="138" t="n"/>
      <c r="I51" s="138" t="n"/>
      <c r="J51" s="138" t="n"/>
      <c r="K51" s="138" t="n"/>
      <c r="L51" s="138" t="n"/>
      <c r="M51" s="138" t="n"/>
      <c r="N51" s="138" t="n"/>
      <c r="O51" s="138" t="n"/>
      <c r="P51" s="138" t="n"/>
      <c r="Q51" s="141" t="n"/>
      <c r="R51" s="208" t="inlineStr">
        <is>
          <t>言語：
Python
FW：
TensorFlow/Keras
scikit-learn
FastAPI</t>
        </is>
      </c>
      <c r="S51" s="138" t="n"/>
      <c r="T51" s="141" t="n"/>
      <c r="U51" s="208" t="inlineStr">
        <is>
          <t>OS：
Linux
DB：
BigQuery
ツール：
GCP: Vertex AI, Artifact Registry, Cloud Run, Composer
Docker, Airflow, Metabase</t>
        </is>
      </c>
      <c r="V51" s="138" t="n"/>
      <c r="W51" s="141" t="n"/>
      <c r="X51" s="1" t="n"/>
    </row>
    <row r="52" ht="18" customHeight="1" s="124">
      <c r="A52" s="1" t="n"/>
      <c r="B52" s="209" t="n"/>
      <c r="C52" s="149" t="n"/>
      <c r="D52" s="151" t="n"/>
      <c r="E52" s="210" t="inlineStr">
        <is>
          <t xml:space="preserve">【プロジェクト概要】
ShopeeマーケットプレイスにおけるNCF・補充・ベビー服向けの商品レコメンデーションシステムを構築。GCP（Vertex AI）上でエンドツーエンドのMLパイプラインを実装し、月間約3億IDRのGMV創出に貢献。
【担当業務】
・協力会社の設計書をベースにMLモデルの開発・実装を実施
・NCF・補充・ベビー服の3種類のレコメンドエンジンを構築
・FastAPIを用いたエンドポイント構築とGCP Vertex AIへのデプロイ
・モデルの精度評価とチューニングを実施"			
			</t>
        </is>
      </c>
      <c r="F52" s="159" t="n"/>
      <c r="G52" s="159" t="n"/>
      <c r="H52" s="159" t="n"/>
      <c r="I52" s="159" t="n"/>
      <c r="J52" s="159" t="n"/>
      <c r="K52" s="159" t="n"/>
      <c r="L52" s="159" t="n"/>
      <c r="M52" s="159" t="n"/>
      <c r="N52" s="159" t="n"/>
      <c r="O52" s="159" t="n"/>
      <c r="P52" s="159" t="n"/>
      <c r="Q52" s="164" t="n"/>
      <c r="R52" s="186" t="n"/>
      <c r="T52" s="132" t="n"/>
      <c r="U52" s="186" t="n"/>
      <c r="W52" s="132" t="n"/>
      <c r="X52" s="1" t="n"/>
    </row>
    <row r="53" ht="18" customHeight="1" s="124">
      <c r="A53" s="1" t="n"/>
      <c r="B53" s="209" t="n"/>
      <c r="C53" s="211" t="inlineStr">
        <is>
          <t>～</t>
        </is>
      </c>
      <c r="D53" s="132" t="n"/>
      <c r="E53" s="186" t="n"/>
      <c r="Q53" s="132" t="n"/>
      <c r="R53" s="186" t="n"/>
      <c r="T53" s="132" t="n"/>
      <c r="U53" s="186" t="n"/>
      <c r="W53" s="132" t="n"/>
      <c r="X53" s="1" t="n"/>
    </row>
    <row r="54" ht="18" customHeight="1" s="124">
      <c r="A54" s="1" t="n"/>
      <c r="B54" s="209" t="n"/>
      <c r="C54" s="133" t="n"/>
      <c r="D54" s="136" t="n"/>
      <c r="E54" s="186" t="n"/>
      <c r="Q54" s="132" t="n"/>
      <c r="R54" s="186" t="n"/>
      <c r="T54" s="132" t="n"/>
      <c r="U54" s="186" t="n"/>
      <c r="W54" s="132" t="n"/>
      <c r="X54" s="1" t="n"/>
    </row>
    <row r="55" ht="18" customHeight="1" s="124">
      <c r="A55" s="1" t="n"/>
      <c r="B55" s="209" t="n"/>
      <c r="C55" s="166" t="n">
        <v>45870</v>
      </c>
      <c r="D55" s="164" t="n"/>
      <c r="E55" s="186" t="n"/>
      <c r="Q55" s="132" t="n"/>
      <c r="R55" s="186" t="n"/>
      <c r="T55" s="132" t="n"/>
      <c r="U55" s="186" t="n"/>
      <c r="W55" s="132" t="n"/>
      <c r="X55" s="1" t="n"/>
    </row>
    <row r="56" ht="18" customHeight="1" s="124">
      <c r="A56" s="1" t="n"/>
      <c r="B56" s="209" t="n"/>
      <c r="C56" s="133" t="n"/>
      <c r="D56" s="136" t="n"/>
      <c r="E56" s="186" t="n"/>
      <c r="Q56" s="132" t="n"/>
      <c r="R56" s="186" t="n"/>
      <c r="T56" s="132" t="n"/>
      <c r="U56" s="186" t="n"/>
      <c r="W56" s="132" t="n"/>
      <c r="X56" s="1" t="n"/>
    </row>
    <row r="57" ht="18" customHeight="1" s="124">
      <c r="A57" s="1" t="n"/>
      <c r="B57" s="209" t="n"/>
      <c r="C57" s="203">
        <f>DATEDIF(C51,C55,"Y")&amp;"年"&amp;DATEDIF(C51,C55,"YM")&amp;"ヶ月"</f>
        <v/>
      </c>
      <c r="D57" s="141" t="n"/>
      <c r="E57" s="186" t="n"/>
      <c r="Q57" s="132" t="n"/>
      <c r="R57" s="186" t="n"/>
      <c r="T57" s="132" t="n"/>
      <c r="U57" s="186" t="n"/>
      <c r="W57" s="132" t="n"/>
      <c r="X57" s="1" t="n"/>
    </row>
    <row r="58" ht="18" customHeight="1" s="124">
      <c r="A58" s="1" t="n"/>
      <c r="B58" s="209" t="n"/>
      <c r="C58" s="186" t="n"/>
      <c r="D58" s="132" t="n"/>
      <c r="E58" s="186" t="n"/>
      <c r="Q58" s="132" t="n"/>
      <c r="R58" s="186" t="n"/>
      <c r="T58" s="132" t="n"/>
      <c r="U58" s="186" t="n"/>
      <c r="W58" s="132" t="n"/>
      <c r="X58" s="1" t="n"/>
    </row>
    <row r="59" ht="18" customHeight="1" s="124">
      <c r="A59" s="1" t="n"/>
      <c r="B59" s="209" t="n"/>
      <c r="C59" s="186" t="n"/>
      <c r="D59" s="132" t="n"/>
      <c r="E59" s="186" t="n"/>
      <c r="Q59" s="132" t="n"/>
      <c r="R59" s="186" t="n"/>
      <c r="T59" s="132" t="n"/>
      <c r="U59" s="186" t="n"/>
      <c r="W59" s="132" t="n"/>
      <c r="X59" s="1" t="n"/>
    </row>
    <row r="60" ht="18" customHeight="1" s="124">
      <c r="A60" s="1" t="n"/>
      <c r="B60" s="209" t="n"/>
      <c r="C60" s="186" t="n"/>
      <c r="D60" s="132" t="n"/>
      <c r="E60" s="186" t="n"/>
      <c r="Q60" s="132" t="n"/>
      <c r="R60" s="186" t="n"/>
      <c r="T60" s="132" t="n"/>
      <c r="U60" s="186" t="n"/>
      <c r="W60" s="132" t="n"/>
      <c r="X60" s="1" t="n"/>
    </row>
    <row r="61" ht="18" customHeight="1" s="124">
      <c r="A61" s="1" t="n"/>
      <c r="B61" s="205" t="n"/>
      <c r="C61" s="133" t="n"/>
      <c r="D61" s="136" t="n"/>
      <c r="E61" s="133" t="n"/>
      <c r="F61" s="134" t="n"/>
      <c r="G61" s="134" t="n"/>
      <c r="H61" s="134" t="n"/>
      <c r="I61" s="134" t="n"/>
      <c r="J61" s="134" t="n"/>
      <c r="K61" s="134" t="n"/>
      <c r="L61" s="134" t="n"/>
      <c r="M61" s="134" t="n"/>
      <c r="N61" s="134" t="n"/>
      <c r="O61" s="134" t="n"/>
      <c r="P61" s="134" t="n"/>
      <c r="Q61" s="136" t="n"/>
      <c r="R61" s="133" t="n"/>
      <c r="S61" s="134" t="n"/>
      <c r="T61" s="136" t="n"/>
      <c r="U61" s="133" t="n"/>
      <c r="V61" s="134" t="n"/>
      <c r="W61" s="136" t="n"/>
      <c r="X61" s="1" t="n"/>
    </row>
    <row r="62" ht="18" customHeight="1" s="124">
      <c r="A62" s="1" t="n"/>
      <c r="B62" s="203" t="n">
        <v>2</v>
      </c>
      <c r="C62" s="212" t="n">
        <v>45748</v>
      </c>
      <c r="D62" s="141" t="n"/>
      <c r="E62" s="213" t="inlineStr">
        <is>
          <t>【プロジェクト名】スマートバウチャー最適化システム開発</t>
        </is>
      </c>
      <c r="F62" s="126" t="n"/>
      <c r="G62" s="126" t="n"/>
      <c r="H62" s="126" t="n"/>
      <c r="I62" s="126" t="n"/>
      <c r="J62" s="126" t="n"/>
      <c r="K62" s="126" t="n"/>
      <c r="L62" s="126" t="n"/>
      <c r="M62" s="126" t="n"/>
      <c r="N62" s="126" t="n"/>
      <c r="O62" s="126" t="n"/>
      <c r="P62" s="126" t="n"/>
      <c r="Q62" s="128" t="n"/>
      <c r="R62" s="208" t="inlineStr">
        <is>
          <t>言語：
Python
FW：
scikit-learn
FastAPI</t>
        </is>
      </c>
      <c r="S62" s="138" t="n"/>
      <c r="T62" s="141" t="n"/>
      <c r="U62" s="208" t="inlineStr">
        <is>
          <t>OS：
Linux
DB：
BigQuery
ツール：
GCP: Vertex AI, Artifact Registry, Cloud Run, Compose
Docker, Airflow, Metabase</t>
        </is>
      </c>
      <c r="V62" s="138" t="n"/>
      <c r="W62" s="141" t="n"/>
      <c r="X62" s="1" t="n"/>
    </row>
    <row r="63" ht="18" customHeight="1" s="124">
      <c r="A63" s="1" t="n"/>
      <c r="B63" s="209" t="n"/>
      <c r="C63" s="133" t="n"/>
      <c r="D63" s="136" t="n"/>
      <c r="E63" s="214" t="inlineStr">
        <is>
          <t>プロジェクト概要】
K-Meansクラスタリングと線形計画法を用いた予算制約付きバウチャー最適化システムを構築。月平均200倍のROIを達成。
【担当業務】
・K-Meansクラスタリングによる顧客セグメンテーションの実装
・線形計画法を用いた予算制約付きバウチャー配分アルゴリズムの開発
・最適化結果のBigQueryへの出力パイプラインを構築</t>
        </is>
      </c>
      <c r="Q63" s="132" t="n"/>
      <c r="R63" s="186" t="n"/>
      <c r="T63" s="132" t="n"/>
      <c r="U63" s="186" t="n"/>
      <c r="W63" s="132" t="n"/>
      <c r="X63" s="1" t="n"/>
    </row>
    <row r="64" ht="18" customHeight="1" s="124">
      <c r="A64" s="1" t="n"/>
      <c r="B64" s="209" t="n"/>
      <c r="C64" s="215" t="inlineStr">
        <is>
          <t>～</t>
        </is>
      </c>
      <c r="D64" s="164" t="n"/>
      <c r="E64" s="186" t="n"/>
      <c r="Q64" s="132" t="n"/>
      <c r="R64" s="186" t="n"/>
      <c r="T64" s="132" t="n"/>
      <c r="U64" s="186" t="n"/>
      <c r="W64" s="132" t="n"/>
      <c r="X64" s="1" t="n"/>
    </row>
    <row r="65" ht="18" customHeight="1" s="124">
      <c r="A65" s="1" t="n"/>
      <c r="B65" s="209" t="n"/>
      <c r="C65" s="133" t="n"/>
      <c r="D65" s="136" t="n"/>
      <c r="E65" s="186" t="n"/>
      <c r="Q65" s="132" t="n"/>
      <c r="R65" s="186" t="n"/>
      <c r="T65" s="132" t="n"/>
      <c r="U65" s="186" t="n"/>
      <c r="W65" s="132" t="n"/>
      <c r="X65" s="1" t="n"/>
    </row>
    <row r="66" ht="18" customHeight="1" s="124">
      <c r="A66" s="1" t="n"/>
      <c r="B66" s="209" t="n"/>
      <c r="C66" s="166" t="n">
        <v>45839</v>
      </c>
      <c r="D66" s="164" t="n"/>
      <c r="E66" s="186" t="n"/>
      <c r="Q66" s="132" t="n"/>
      <c r="R66" s="186" t="n"/>
      <c r="T66" s="132" t="n"/>
      <c r="U66" s="186" t="n"/>
      <c r="W66" s="132" t="n"/>
      <c r="X66" s="1" t="n"/>
    </row>
    <row r="67" ht="18" customHeight="1" s="124">
      <c r="A67" s="1" t="n"/>
      <c r="B67" s="209" t="n"/>
      <c r="C67" s="133" t="n"/>
      <c r="D67" s="136" t="n"/>
      <c r="E67" s="186" t="n"/>
      <c r="Q67" s="132" t="n"/>
      <c r="R67" s="186" t="n"/>
      <c r="T67" s="132" t="n"/>
      <c r="U67" s="186" t="n"/>
      <c r="W67" s="132" t="n"/>
      <c r="X67" s="1" t="n"/>
    </row>
    <row r="68" ht="18" customHeight="1" s="124">
      <c r="A68" s="1" t="n"/>
      <c r="B68" s="209" t="n"/>
      <c r="C68" s="203">
        <f>DATEDIF(C62,C66,"Y")&amp;"年"&amp;DATEDIF(C62,C66,"YM")&amp;"ヶ月"</f>
        <v/>
      </c>
      <c r="D68" s="141" t="n"/>
      <c r="E68" s="186" t="n"/>
      <c r="Q68" s="132" t="n"/>
      <c r="R68" s="186" t="n"/>
      <c r="T68" s="132" t="n"/>
      <c r="U68" s="186" t="n"/>
      <c r="W68" s="132" t="n"/>
      <c r="X68" s="1" t="n"/>
    </row>
    <row r="69" ht="18" customHeight="1" s="124">
      <c r="A69" s="1" t="n"/>
      <c r="B69" s="209" t="n"/>
      <c r="C69" s="186" t="n"/>
      <c r="D69" s="132" t="n"/>
      <c r="E69" s="186" t="n"/>
      <c r="Q69" s="132" t="n"/>
      <c r="R69" s="186" t="n"/>
      <c r="T69" s="132" t="n"/>
      <c r="U69" s="186" t="n"/>
      <c r="W69" s="132" t="n"/>
      <c r="X69" s="1" t="n"/>
    </row>
    <row r="70" ht="18" customHeight="1" s="124">
      <c r="A70" s="1" t="n"/>
      <c r="B70" s="209" t="n"/>
      <c r="C70" s="186" t="n"/>
      <c r="D70" s="132" t="n"/>
      <c r="E70" s="186" t="n"/>
      <c r="Q70" s="132" t="n"/>
      <c r="R70" s="186" t="n"/>
      <c r="T70" s="132" t="n"/>
      <c r="U70" s="186" t="n"/>
      <c r="W70" s="132" t="n"/>
      <c r="X70" s="1" t="n"/>
    </row>
    <row r="71" ht="18" customHeight="1" s="124">
      <c r="A71" s="1" t="n"/>
      <c r="B71" s="209" t="n"/>
      <c r="C71" s="186" t="n"/>
      <c r="D71" s="132" t="n"/>
      <c r="E71" s="186" t="n"/>
      <c r="Q71" s="132" t="n"/>
      <c r="R71" s="186" t="n"/>
      <c r="T71" s="132" t="n"/>
      <c r="U71" s="186" t="n"/>
      <c r="W71" s="132" t="n"/>
      <c r="X71" s="1" t="n"/>
    </row>
    <row r="72" ht="18" customHeight="1" s="124">
      <c r="A72" s="1" t="n"/>
      <c r="B72" s="205" t="n"/>
      <c r="C72" s="133" t="n"/>
      <c r="D72" s="136" t="n"/>
      <c r="E72" s="133" t="n"/>
      <c r="F72" s="134" t="n"/>
      <c r="G72" s="134" t="n"/>
      <c r="H72" s="134" t="n"/>
      <c r="I72" s="134" t="n"/>
      <c r="J72" s="134" t="n"/>
      <c r="K72" s="134" t="n"/>
      <c r="L72" s="134" t="n"/>
      <c r="M72" s="134" t="n"/>
      <c r="N72" s="134" t="n"/>
      <c r="O72" s="134" t="n"/>
      <c r="P72" s="134" t="n"/>
      <c r="Q72" s="136" t="n"/>
      <c r="R72" s="133" t="n"/>
      <c r="S72" s="134" t="n"/>
      <c r="T72" s="136" t="n"/>
      <c r="U72" s="133" t="n"/>
      <c r="V72" s="134" t="n"/>
      <c r="W72" s="136" t="n"/>
      <c r="X72" s="1" t="n"/>
    </row>
    <row r="73" ht="18" customHeight="1" s="124">
      <c r="A73" s="1" t="n"/>
      <c r="B73" s="203" t="n">
        <v>3</v>
      </c>
      <c r="C73" s="212" t="n">
        <v>45870</v>
      </c>
      <c r="D73" s="141" t="n"/>
      <c r="E73" s="207" t="inlineStr">
        <is>
          <t>【プロジェクト名】AI-OCR請求書・領収書自動処理システム開発</t>
        </is>
      </c>
      <c r="F73" s="138" t="n"/>
      <c r="G73" s="138" t="n"/>
      <c r="H73" s="138" t="n"/>
      <c r="I73" s="138" t="n"/>
      <c r="J73" s="138" t="n"/>
      <c r="K73" s="138" t="n"/>
      <c r="L73" s="138" t="n"/>
      <c r="M73" s="138" t="n"/>
      <c r="N73" s="138" t="n"/>
      <c r="O73" s="138" t="n"/>
      <c r="P73" s="138" t="n"/>
      <c r="Q73" s="141" t="n"/>
      <c r="R73" s="208" t="inlineStr">
        <is>
          <t>言語：
Python</t>
        </is>
      </c>
      <c r="S73" s="138" t="n"/>
      <c r="T73" s="141" t="n"/>
      <c r="U73" s="208" t="inlineStr">
        <is>
          <t>OS：
Linux
DB：
BigQuery
ツール：
GCP（Document AI,  Cloud Vision API,
Cloud Run）
Docker</t>
        </is>
      </c>
      <c r="V73" s="138" t="n"/>
      <c r="W73" s="141" t="n"/>
      <c r="X73" s="1" t="n"/>
    </row>
    <row r="74" ht="18" customHeight="1" s="124">
      <c r="A74" s="1" t="n"/>
      <c r="B74" s="209" t="n"/>
      <c r="C74" s="133" t="n"/>
      <c r="D74" s="136" t="n"/>
      <c r="E74" s="210" t="inlineStr">
        <is>
          <t>【プロジェクト概要】
GCP Document AIを用いたAIベースのOCRシステムを構築。請求書・領収書の処理時間を8時間から5分に短縮（96倍高速化）、精度90%以上を達成。
【担当業務】
・GCP Document AIとMistral AIの精度・コスト比較評価を実施
・OCRパイプラインのエンドツーエンド設計・実装
・FastAPIを用いた自動処理エンドポイントの構築
・処理結果の検証ロジックと例外処理を実装</t>
        </is>
      </c>
      <c r="F74" s="159" t="n"/>
      <c r="G74" s="159" t="n"/>
      <c r="H74" s="159" t="n"/>
      <c r="I74" s="159" t="n"/>
      <c r="J74" s="159" t="n"/>
      <c r="K74" s="159" t="n"/>
      <c r="L74" s="159" t="n"/>
      <c r="M74" s="159" t="n"/>
      <c r="N74" s="159" t="n"/>
      <c r="O74" s="159" t="n"/>
      <c r="P74" s="159" t="n"/>
      <c r="Q74" s="164" t="n"/>
      <c r="R74" s="186" t="n"/>
      <c r="T74" s="132" t="n"/>
      <c r="U74" s="186" t="n"/>
      <c r="W74" s="132" t="n"/>
      <c r="X74" s="1" t="n"/>
    </row>
    <row r="75" ht="18" customHeight="1" s="124">
      <c r="A75" s="1" t="n"/>
      <c r="B75" s="209" t="n"/>
      <c r="C75" s="216" t="inlineStr">
        <is>
          <t>～</t>
        </is>
      </c>
      <c r="D75" s="164" t="n"/>
      <c r="E75" s="186" t="n"/>
      <c r="Q75" s="132" t="n"/>
      <c r="R75" s="186" t="n"/>
      <c r="T75" s="132" t="n"/>
      <c r="U75" s="186" t="n"/>
      <c r="W75" s="132" t="n"/>
      <c r="X75" s="1" t="n"/>
    </row>
    <row r="76" ht="18" customHeight="1" s="124">
      <c r="A76" s="1" t="n"/>
      <c r="B76" s="209" t="n"/>
      <c r="C76" s="149" t="n"/>
      <c r="D76" s="151" t="n"/>
      <c r="E76" s="186" t="n"/>
      <c r="Q76" s="132" t="n"/>
      <c r="R76" s="186" t="n"/>
      <c r="T76" s="132" t="n"/>
      <c r="U76" s="186" t="n"/>
      <c r="W76" s="132" t="n"/>
      <c r="X76" s="1" t="n"/>
    </row>
    <row r="77" ht="18" customHeight="1" s="124">
      <c r="A77" s="1" t="n"/>
      <c r="B77" s="209" t="n"/>
      <c r="C77" s="217" t="n">
        <v>45901</v>
      </c>
      <c r="D77" s="132" t="n"/>
      <c r="E77" s="186" t="n"/>
      <c r="Q77" s="132" t="n"/>
      <c r="R77" s="186" t="n"/>
      <c r="T77" s="132" t="n"/>
      <c r="U77" s="186" t="n"/>
      <c r="W77" s="132" t="n"/>
      <c r="X77" s="1" t="n"/>
    </row>
    <row r="78" ht="18" customHeight="1" s="124">
      <c r="A78" s="1" t="n"/>
      <c r="B78" s="209" t="n"/>
      <c r="C78" s="133" t="n"/>
      <c r="D78" s="136" t="n"/>
      <c r="E78" s="186" t="n"/>
      <c r="Q78" s="132" t="n"/>
      <c r="R78" s="186" t="n"/>
      <c r="T78" s="132" t="n"/>
      <c r="U78" s="186" t="n"/>
      <c r="W78" s="132" t="n"/>
      <c r="X78" s="1" t="n"/>
    </row>
    <row r="79" ht="18" customHeight="1" s="124">
      <c r="A79" s="1" t="n"/>
      <c r="B79" s="209" t="n"/>
      <c r="C79" s="203">
        <f>DATEDIF(C73,C77,"Y")&amp;"年"&amp;DATEDIF(C73,C77,"YM")&amp;"ヶ月"</f>
        <v/>
      </c>
      <c r="D79" s="141" t="n"/>
      <c r="E79" s="186" t="n"/>
      <c r="Q79" s="132" t="n"/>
      <c r="R79" s="186" t="n"/>
      <c r="T79" s="132" t="n"/>
      <c r="U79" s="186" t="n"/>
      <c r="W79" s="132" t="n"/>
      <c r="X79" s="1" t="n"/>
    </row>
    <row r="80" ht="18" customHeight="1" s="124">
      <c r="A80" s="1" t="n"/>
      <c r="B80" s="209" t="n"/>
      <c r="C80" s="186" t="n"/>
      <c r="D80" s="132" t="n"/>
      <c r="E80" s="186" t="n"/>
      <c r="Q80" s="132" t="n"/>
      <c r="R80" s="186" t="n"/>
      <c r="T80" s="132" t="n"/>
      <c r="U80" s="186" t="n"/>
      <c r="W80" s="132" t="n"/>
      <c r="X80" s="1" t="n"/>
    </row>
    <row r="81" ht="18" customHeight="1" s="124">
      <c r="A81" s="1" t="n"/>
      <c r="B81" s="209" t="n"/>
      <c r="C81" s="186" t="n"/>
      <c r="D81" s="132" t="n"/>
      <c r="E81" s="186" t="n"/>
      <c r="Q81" s="132" t="n"/>
      <c r="R81" s="186" t="n"/>
      <c r="T81" s="132" t="n"/>
      <c r="U81" s="186" t="n"/>
      <c r="W81" s="132" t="n"/>
      <c r="X81" s="1" t="n"/>
    </row>
    <row r="82" ht="18" customHeight="1" s="124">
      <c r="A82" s="1" t="n"/>
      <c r="B82" s="209" t="n"/>
      <c r="C82" s="186" t="n"/>
      <c r="D82" s="132" t="n"/>
      <c r="E82" s="186" t="n"/>
      <c r="Q82" s="132" t="n"/>
      <c r="R82" s="186" t="n"/>
      <c r="T82" s="132" t="n"/>
      <c r="U82" s="186" t="n"/>
      <c r="W82" s="132" t="n"/>
      <c r="X82" s="1" t="n"/>
    </row>
    <row r="83" ht="18" customHeight="1" s="124">
      <c r="A83" s="1" t="n"/>
      <c r="B83" s="205" t="n"/>
      <c r="C83" s="133" t="n"/>
      <c r="D83" s="136" t="n"/>
      <c r="E83" s="133" t="n"/>
      <c r="F83" s="134" t="n"/>
      <c r="G83" s="134" t="n"/>
      <c r="H83" s="134" t="n"/>
      <c r="I83" s="134" t="n"/>
      <c r="J83" s="134" t="n"/>
      <c r="K83" s="134" t="n"/>
      <c r="L83" s="134" t="n"/>
      <c r="M83" s="134" t="n"/>
      <c r="N83" s="134" t="n"/>
      <c r="O83" s="134" t="n"/>
      <c r="P83" s="134" t="n"/>
      <c r="Q83" s="136" t="n"/>
      <c r="R83" s="133" t="n"/>
      <c r="S83" s="134" t="n"/>
      <c r="T83" s="136" t="n"/>
      <c r="U83" s="133" t="n"/>
      <c r="V83" s="134" t="n"/>
      <c r="W83" s="136" t="n"/>
      <c r="X83" s="1" t="n"/>
    </row>
    <row r="84" ht="18" customHeight="1" s="124">
      <c r="A84" s="1" t="n"/>
      <c r="B84" s="203" t="n">
        <v>4</v>
      </c>
      <c r="C84" s="212" t="n">
        <v>45901</v>
      </c>
      <c r="D84" s="141" t="n"/>
      <c r="E84" s="207" t="inlineStr">
        <is>
          <t>【プロジェクト名】財務ワークフロー自動化・API連携開発</t>
        </is>
      </c>
      <c r="F84" s="138" t="n"/>
      <c r="G84" s="138" t="n"/>
      <c r="H84" s="138" t="n"/>
      <c r="I84" s="138" t="n"/>
      <c r="J84" s="138" t="n"/>
      <c r="K84" s="138" t="n"/>
      <c r="L84" s="138" t="n"/>
      <c r="M84" s="138" t="n"/>
      <c r="N84" s="138" t="n"/>
      <c r="O84" s="138" t="n"/>
      <c r="P84" s="138" t="n"/>
      <c r="Q84" s="141" t="n"/>
      <c r="R84" s="208" t="inlineStr">
        <is>
          <t>言語：
Python
FW：
FastAPI
REST API</t>
        </is>
      </c>
      <c r="S84" s="138" t="n"/>
      <c r="T84" s="141" t="n"/>
      <c r="U84" s="208" t="inlineStr">
        <is>
          <t>OS：
Linux
DB：
PostgreSQL, BigQuery
ツール：
GCP（Composer）
Docker
Google Sheets</t>
        </is>
      </c>
      <c r="V84" s="138" t="n"/>
      <c r="W84" s="141" t="n"/>
      <c r="X84" s="1" t="n"/>
    </row>
    <row r="85" ht="18" customHeight="1" s="124">
      <c r="A85" s="1" t="n"/>
      <c r="B85" s="209" t="n"/>
      <c r="C85" s="133" t="n"/>
      <c r="D85" s="136" t="n"/>
      <c r="E85" s="210" t="inlineStr">
        <is>
          <t>【プロジェクト概要】
JubelioとJurnal.idをAPI連携し、3ブランド（自社ウェアハウス・ローカルベビーファッション・ベビーケアブランド）の財務ワークフローを自動化。請求書処理時間を数日から10分未満に短縮し、売掛金回収の早期化に貢献。各ブランド2〜3ヶ月かけて財務スコープ全体をカバー。
【担当業務】
・Jubelio (OMS)とJurnal.id (cloud-based online accounting SAAS) のREST APIを調査・設計
・受注データから請求書自動作成・連携パイプラインを実装
・1日数百件の請求書を自動処理するバッチ処理を構築
・エラーハンドリングとリトライ機構を実装
・3ブランド順次対応（自社ウェアハウス→ベビーファッション→ベビーケア）、各ブランド2〜3ヶ月で財務フロー全体を網羅</t>
        </is>
      </c>
      <c r="F85" s="159" t="n"/>
      <c r="G85" s="159" t="n"/>
      <c r="H85" s="159" t="n"/>
      <c r="I85" s="159" t="n"/>
      <c r="J85" s="159" t="n"/>
      <c r="K85" s="159" t="n"/>
      <c r="L85" s="159" t="n"/>
      <c r="M85" s="159" t="n"/>
      <c r="N85" s="159" t="n"/>
      <c r="O85" s="159" t="n"/>
      <c r="P85" s="159" t="n"/>
      <c r="Q85" s="164" t="n"/>
      <c r="R85" s="186" t="n"/>
      <c r="T85" s="132" t="n"/>
      <c r="U85" s="186" t="n"/>
      <c r="W85" s="132" t="n"/>
      <c r="X85" s="1" t="n"/>
    </row>
    <row r="86" ht="18" customHeight="1" s="124">
      <c r="A86" s="1" t="n"/>
      <c r="B86" s="209" t="n"/>
      <c r="C86" s="215" t="inlineStr">
        <is>
          <t>～</t>
        </is>
      </c>
      <c r="D86" s="164" t="n"/>
      <c r="E86" s="186" t="n"/>
      <c r="Q86" s="132" t="n"/>
      <c r="R86" s="186" t="n"/>
      <c r="T86" s="132" t="n"/>
      <c r="U86" s="186" t="n"/>
      <c r="W86" s="132" t="n"/>
      <c r="X86" s="1" t="n"/>
    </row>
    <row r="87" ht="18" customHeight="1" s="124">
      <c r="A87" s="1" t="n"/>
      <c r="B87" s="209" t="n"/>
      <c r="C87" s="133" t="n"/>
      <c r="D87" s="136" t="n"/>
      <c r="E87" s="186" t="n"/>
      <c r="Q87" s="132" t="n"/>
      <c r="R87" s="186" t="n"/>
      <c r="T87" s="132" t="n"/>
      <c r="U87" s="186" t="n"/>
      <c r="W87" s="132" t="n"/>
      <c r="X87" s="1" t="n"/>
    </row>
    <row r="88" ht="18" customHeight="1" s="124">
      <c r="A88" s="1" t="n"/>
      <c r="B88" s="209" t="n"/>
      <c r="C88" s="166" t="n">
        <v>46082</v>
      </c>
      <c r="D88" s="164" t="n"/>
      <c r="E88" s="186" t="n"/>
      <c r="Q88" s="132" t="n"/>
      <c r="R88" s="186" t="n"/>
      <c r="T88" s="132" t="n"/>
      <c r="U88" s="186" t="n"/>
      <c r="W88" s="132" t="n"/>
      <c r="X88" s="1" t="n"/>
    </row>
    <row r="89" ht="18" customHeight="1" s="124">
      <c r="A89" s="1" t="n"/>
      <c r="B89" s="209" t="n"/>
      <c r="C89" s="133" t="n"/>
      <c r="D89" s="136" t="n"/>
      <c r="E89" s="186" t="n"/>
      <c r="Q89" s="132" t="n"/>
      <c r="R89" s="186" t="n"/>
      <c r="T89" s="132" t="n"/>
      <c r="U89" s="186" t="n"/>
      <c r="W89" s="132" t="n"/>
      <c r="X89" s="1" t="n"/>
    </row>
    <row r="90" ht="18" customHeight="1" s="124">
      <c r="A90" s="1" t="n"/>
      <c r="B90" s="209" t="n"/>
      <c r="C90" s="203">
        <f>DATEDIF(C84,C88,"Y")&amp;"年"&amp;DATEDIF(C84,C88,"YM")&amp;"ヶ月"</f>
        <v/>
      </c>
      <c r="D90" s="141" t="n"/>
      <c r="E90" s="186" t="n"/>
      <c r="Q90" s="132" t="n"/>
      <c r="R90" s="186" t="n"/>
      <c r="T90" s="132" t="n"/>
      <c r="U90" s="186" t="n"/>
      <c r="W90" s="132" t="n"/>
      <c r="X90" s="1" t="n"/>
    </row>
    <row r="91" ht="18" customHeight="1" s="124">
      <c r="A91" s="1" t="n"/>
      <c r="B91" s="209" t="n"/>
      <c r="C91" s="186" t="n"/>
      <c r="D91" s="132" t="n"/>
      <c r="E91" s="186" t="n"/>
      <c r="Q91" s="132" t="n"/>
      <c r="R91" s="186" t="n"/>
      <c r="T91" s="132" t="n"/>
      <c r="U91" s="186" t="n"/>
      <c r="W91" s="132" t="n"/>
      <c r="X91" s="1" t="n"/>
    </row>
    <row r="92" ht="18" customHeight="1" s="124">
      <c r="A92" s="1" t="n"/>
      <c r="B92" s="209" t="n"/>
      <c r="C92" s="186" t="n"/>
      <c r="D92" s="132" t="n"/>
      <c r="E92" s="186" t="n"/>
      <c r="Q92" s="132" t="n"/>
      <c r="R92" s="186" t="n"/>
      <c r="T92" s="132" t="n"/>
      <c r="U92" s="186" t="n"/>
      <c r="W92" s="132" t="n"/>
      <c r="X92" s="1" t="n"/>
    </row>
    <row r="93" ht="18" customHeight="1" s="124">
      <c r="A93" s="1" t="n"/>
      <c r="B93" s="209" t="n"/>
      <c r="C93" s="186" t="n"/>
      <c r="D93" s="132" t="n"/>
      <c r="E93" s="186" t="n"/>
      <c r="Q93" s="132" t="n"/>
      <c r="R93" s="186" t="n"/>
      <c r="T93" s="132" t="n"/>
      <c r="U93" s="186" t="n"/>
      <c r="W93" s="132" t="n"/>
      <c r="X93" s="1" t="n"/>
    </row>
    <row r="94" ht="18" customHeight="1" s="124">
      <c r="A94" s="1" t="n"/>
      <c r="B94" s="205" t="n"/>
      <c r="C94" s="133" t="n"/>
      <c r="D94" s="136" t="n"/>
      <c r="E94" s="133" t="n"/>
      <c r="F94" s="134" t="n"/>
      <c r="G94" s="134" t="n"/>
      <c r="H94" s="134" t="n"/>
      <c r="I94" s="134" t="n"/>
      <c r="J94" s="134" t="n"/>
      <c r="K94" s="134" t="n"/>
      <c r="L94" s="134" t="n"/>
      <c r="M94" s="134" t="n"/>
      <c r="N94" s="134" t="n"/>
      <c r="O94" s="134" t="n"/>
      <c r="P94" s="134" t="n"/>
      <c r="Q94" s="136" t="n"/>
      <c r="R94" s="133" t="n"/>
      <c r="S94" s="134" t="n"/>
      <c r="T94" s="136" t="n"/>
      <c r="U94" s="133" t="n"/>
      <c r="V94" s="134" t="n"/>
      <c r="W94" s="136" t="n"/>
      <c r="X94" s="1" t="n"/>
    </row>
    <row r="95" ht="18" customHeight="1" s="124">
      <c r="A95" s="1" t="n"/>
      <c r="B95" s="203" t="n">
        <v>5</v>
      </c>
      <c r="C95" s="212" t="n">
        <v>45901</v>
      </c>
      <c r="D95" s="141" t="n"/>
      <c r="E95" s="207" t="inlineStr">
        <is>
          <t>【プロジェクト名】マルチマーケットプレイスETLパイプライン構築</t>
        </is>
      </c>
      <c r="F95" s="138" t="n"/>
      <c r="G95" s="138" t="n"/>
      <c r="H95" s="138" t="n"/>
      <c r="I95" s="138" t="n"/>
      <c r="J95" s="138" t="n"/>
      <c r="K95" s="138" t="n"/>
      <c r="L95" s="138" t="n"/>
      <c r="M95" s="138" t="n"/>
      <c r="N95" s="138" t="n"/>
      <c r="O95" s="138" t="n"/>
      <c r="P95" s="138" t="n"/>
      <c r="Q95" s="141" t="n"/>
      <c r="R95" s="208" t="inlineStr">
        <is>
          <t>言語：
Python
FW：
Flask
SQLAlchemy
Apache Airflow</t>
        </is>
      </c>
      <c r="S95" s="138" t="n"/>
      <c r="T95" s="141" t="n"/>
      <c r="U95" s="208" t="inlineStr">
        <is>
          <t>OS：
Linux
DB：
BigQuery
ツール：
GCP: Artifact Registry, Cloud Run, Composer, Cloud Scheduler
Docker, Airflow, Metabase</t>
        </is>
      </c>
      <c r="V95" s="138" t="n"/>
      <c r="W95" s="141" t="n"/>
      <c r="X95" s="1" t="n"/>
    </row>
    <row r="96" ht="18" customHeight="1" s="124">
      <c r="A96" s="1" t="n"/>
      <c r="B96" s="209" t="n"/>
      <c r="C96" s="133" t="n"/>
      <c r="D96" s="136" t="n"/>
      <c r="E96" s="210" t="inlineStr">
        <is>
          <t>【プロジェクト概要】
4つのマーケットプレイスAPI・Google SheetsからBigQueryへのL0〜L2 ETLパイプラインを設計・開発。11以上のブランドの統合分析・レポーティング基盤を実現。
【担当業務】
・Shopee・Tokopedia・Lazada・TikTok ShopのAPIを統合するETLパイプラインを設計・実装
・Flask・Cloud Runを用いたトークン管理システムを構築
・PostgreSQLでAPI認証情報を管理
・BigQueryへのデータ集約と統合ダッシュボード用データマートを構築</t>
        </is>
      </c>
      <c r="F96" s="159" t="n"/>
      <c r="G96" s="159" t="n"/>
      <c r="H96" s="159" t="n"/>
      <c r="I96" s="159" t="n"/>
      <c r="J96" s="159" t="n"/>
      <c r="K96" s="159" t="n"/>
      <c r="L96" s="159" t="n"/>
      <c r="M96" s="159" t="n"/>
      <c r="N96" s="159" t="n"/>
      <c r="O96" s="159" t="n"/>
      <c r="P96" s="159" t="n"/>
      <c r="Q96" s="164" t="n"/>
      <c r="R96" s="186" t="n"/>
      <c r="T96" s="132" t="n"/>
      <c r="U96" s="186" t="n"/>
      <c r="W96" s="132" t="n"/>
      <c r="X96" s="1" t="n"/>
    </row>
    <row r="97" ht="18" customHeight="1" s="124">
      <c r="A97" s="1" t="n"/>
      <c r="B97" s="209" t="n"/>
      <c r="C97" s="215" t="inlineStr">
        <is>
          <t>～</t>
        </is>
      </c>
      <c r="D97" s="164" t="n"/>
      <c r="E97" s="186" t="n"/>
      <c r="Q97" s="132" t="n"/>
      <c r="R97" s="186" t="n"/>
      <c r="T97" s="132" t="n"/>
      <c r="U97" s="186" t="n"/>
      <c r="W97" s="132" t="n"/>
      <c r="X97" s="1" t="n"/>
    </row>
    <row r="98" ht="18" customHeight="1" s="124">
      <c r="A98" s="1" t="n"/>
      <c r="B98" s="209" t="n"/>
      <c r="C98" s="133" t="n"/>
      <c r="D98" s="136" t="n"/>
      <c r="E98" s="186" t="n"/>
      <c r="Q98" s="132" t="n"/>
      <c r="R98" s="186" t="n"/>
      <c r="T98" s="132" t="n"/>
      <c r="U98" s="186" t="n"/>
      <c r="W98" s="132" t="n"/>
      <c r="X98" s="1" t="n"/>
    </row>
    <row r="99" ht="18" customHeight="1" s="124">
      <c r="A99" s="1" t="n"/>
      <c r="B99" s="209" t="n"/>
      <c r="C99" s="166" t="n">
        <v>45901</v>
      </c>
      <c r="D99" s="164" t="n"/>
      <c r="E99" s="186" t="n"/>
      <c r="Q99" s="132" t="n"/>
      <c r="R99" s="186" t="n"/>
      <c r="T99" s="132" t="n"/>
      <c r="U99" s="186" t="n"/>
      <c r="W99" s="132" t="n"/>
      <c r="X99" s="1" t="n"/>
    </row>
    <row r="100" ht="18" customHeight="1" s="124">
      <c r="A100" s="1" t="n"/>
      <c r="B100" s="209" t="n"/>
      <c r="C100" s="133" t="n"/>
      <c r="D100" s="136" t="n"/>
      <c r="E100" s="186" t="n"/>
      <c r="Q100" s="132" t="n"/>
      <c r="R100" s="186" t="n"/>
      <c r="T100" s="132" t="n"/>
      <c r="U100" s="186" t="n"/>
      <c r="W100" s="132" t="n"/>
      <c r="X100" s="1" t="n"/>
    </row>
    <row r="101" ht="18" customHeight="1" s="124">
      <c r="A101" s="1" t="n"/>
      <c r="B101" s="209" t="n"/>
      <c r="C101" s="203">
        <f>DATEDIF(C95,C99,"Y")&amp;"年"&amp;DATEDIF(C95,C99,"YM")&amp;"ヶ月"</f>
        <v/>
      </c>
      <c r="D101" s="141" t="n"/>
      <c r="E101" s="186" t="n"/>
      <c r="Q101" s="132" t="n"/>
      <c r="R101" s="186" t="n"/>
      <c r="T101" s="132" t="n"/>
      <c r="U101" s="186" t="n"/>
      <c r="W101" s="132" t="n"/>
      <c r="X101" s="1" t="n"/>
    </row>
    <row r="102" ht="18" customHeight="1" s="124">
      <c r="A102" s="1" t="n"/>
      <c r="B102" s="209" t="n"/>
      <c r="C102" s="186" t="n"/>
      <c r="D102" s="132" t="n"/>
      <c r="E102" s="186" t="n"/>
      <c r="Q102" s="132" t="n"/>
      <c r="R102" s="186" t="n"/>
      <c r="T102" s="132" t="n"/>
      <c r="U102" s="186" t="n"/>
      <c r="W102" s="132" t="n"/>
      <c r="X102" s="1" t="n"/>
    </row>
    <row r="103" ht="18" customHeight="1" s="124">
      <c r="A103" s="1" t="n"/>
      <c r="B103" s="209" t="n"/>
      <c r="C103" s="186" t="n"/>
      <c r="D103" s="132" t="n"/>
      <c r="E103" s="186" t="n"/>
      <c r="Q103" s="132" t="n"/>
      <c r="R103" s="186" t="n"/>
      <c r="T103" s="132" t="n"/>
      <c r="U103" s="186" t="n"/>
      <c r="W103" s="132" t="n"/>
      <c r="X103" s="1" t="n"/>
    </row>
    <row r="104" ht="18" customHeight="1" s="124">
      <c r="A104" s="1" t="n"/>
      <c r="B104" s="209" t="n"/>
      <c r="C104" s="186" t="n"/>
      <c r="D104" s="132" t="n"/>
      <c r="E104" s="186" t="n"/>
      <c r="Q104" s="132" t="n"/>
      <c r="R104" s="186" t="n"/>
      <c r="T104" s="132" t="n"/>
      <c r="U104" s="186" t="n"/>
      <c r="W104" s="132" t="n"/>
      <c r="X104" s="1" t="n"/>
    </row>
    <row r="105" ht="18" customHeight="1" s="124">
      <c r="A105" s="1" t="n"/>
      <c r="B105" s="205" t="n"/>
      <c r="C105" s="133" t="n"/>
      <c r="D105" s="136" t="n"/>
      <c r="E105" s="133" t="n"/>
      <c r="F105" s="134" t="n"/>
      <c r="G105" s="134" t="n"/>
      <c r="H105" s="134" t="n"/>
      <c r="I105" s="134" t="n"/>
      <c r="J105" s="134" t="n"/>
      <c r="K105" s="134" t="n"/>
      <c r="L105" s="134" t="n"/>
      <c r="M105" s="134" t="n"/>
      <c r="N105" s="134" t="n"/>
      <c r="O105" s="134" t="n"/>
      <c r="P105" s="134" t="n"/>
      <c r="Q105" s="136" t="n"/>
      <c r="R105" s="133" t="n"/>
      <c r="S105" s="134" t="n"/>
      <c r="T105" s="136" t="n"/>
      <c r="U105" s="133" t="n"/>
      <c r="V105" s="134" t="n"/>
      <c r="W105" s="136" t="n"/>
      <c r="X105" s="1" t="n"/>
    </row>
    <row r="106" ht="18" customHeight="1" s="124">
      <c r="A106" s="1" t="n"/>
      <c r="B106" s="32" t="n"/>
      <c r="C106" s="32" t="n"/>
      <c r="D106" s="32" t="n"/>
      <c r="E106" s="123" t="n"/>
      <c r="F106" s="123" t="n"/>
      <c r="G106" s="123" t="n"/>
      <c r="H106" s="123" t="n"/>
      <c r="I106" s="123" t="n"/>
      <c r="J106" s="123" t="n"/>
      <c r="K106" s="123" t="n"/>
      <c r="L106" s="123" t="n"/>
      <c r="M106" s="123" t="n"/>
      <c r="N106" s="123" t="n"/>
      <c r="O106" s="123" t="n"/>
      <c r="P106" s="123" t="n"/>
      <c r="Q106" s="123" t="n"/>
      <c r="R106" s="123" t="n"/>
      <c r="S106" s="123" t="n"/>
      <c r="T106" s="123" t="n"/>
      <c r="U106" s="123" t="n"/>
      <c r="V106" s="123" t="n"/>
      <c r="W106" s="123" t="n"/>
      <c r="X106" s="1" t="n"/>
    </row>
    <row r="107" ht="18" customHeight="1" s="124">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row>
    <row r="108" ht="18" customHeight="1" s="124">
      <c r="A108" s="1" t="n"/>
      <c r="B108" s="197" t="inlineStr">
        <is>
          <t>会社名</t>
        </is>
      </c>
      <c r="C108" s="139" t="n"/>
      <c r="D108" s="78">
        <f>'履歴書'!H41</f>
        <v/>
      </c>
      <c r="E108" s="126" t="n"/>
      <c r="F108" s="126" t="n"/>
      <c r="G108" s="126" t="n"/>
      <c r="H108" s="126" t="n"/>
      <c r="I108" s="126" t="n"/>
      <c r="J108" s="126" t="n"/>
      <c r="K108" s="126" t="n"/>
      <c r="L108" s="127" t="n"/>
      <c r="M108" s="198" t="inlineStr">
        <is>
          <t>雇用形態</t>
        </is>
      </c>
      <c r="N108" s="127" t="n"/>
      <c r="O108" s="95">
        <f>'履歴書'!U41</f>
        <v/>
      </c>
      <c r="P108" s="126" t="n"/>
      <c r="Q108" s="126" t="n"/>
      <c r="R108" s="126" t="n"/>
      <c r="S108" s="126" t="n"/>
      <c r="T108" s="126" t="n"/>
      <c r="U108" s="126" t="n"/>
      <c r="V108" s="126" t="n"/>
      <c r="W108" s="128" t="n"/>
      <c r="X108" s="1" t="n"/>
    </row>
    <row r="109" ht="18" customHeight="1" s="124">
      <c r="A109" s="1" t="n"/>
      <c r="B109" s="199" t="inlineStr">
        <is>
          <t>入社年月</t>
        </is>
      </c>
      <c r="C109" s="195" t="n"/>
      <c r="D109" s="167">
        <f>IF(NOT(OR(ISBLANK('履歴書'!B41),ISERROR(VALUE('履歴書'!B41)))),'履歴書'!B41,"")</f>
        <v/>
      </c>
      <c r="E109" s="194" t="n"/>
      <c r="F109" s="194" t="n"/>
      <c r="G109" s="194" t="n"/>
      <c r="H109" s="195" t="n"/>
      <c r="I109" s="200" t="inlineStr">
        <is>
          <t>退職年月</t>
        </is>
      </c>
      <c r="J109" s="130" t="n"/>
      <c r="K109" s="201">
        <f>IF(NOT(OR(ISBLANK('履歴書'!E41),ISERROR(VALUE('履歴書'!E41)))),'履歴書'!E41,"")</f>
        <v/>
      </c>
      <c r="O109" s="132" t="n"/>
      <c r="P109" s="202" t="inlineStr">
        <is>
          <t>在籍年月</t>
        </is>
      </c>
      <c r="Q109" s="195" t="n"/>
      <c r="R109" s="94">
        <f>DATEDIF(D109,K109,"Y")&amp;"年"&amp;DATEDIF(D109,K109,"YM")&amp;"ヶ月"</f>
        <v/>
      </c>
      <c r="S109" s="194" t="n"/>
      <c r="T109" s="194" t="n"/>
      <c r="U109" s="194" t="n"/>
      <c r="V109" s="194" t="n"/>
      <c r="W109" s="196" t="n"/>
      <c r="X109" s="1" t="n"/>
    </row>
    <row r="110" ht="18" customHeight="1" s="124">
      <c r="A110" s="1" t="n"/>
      <c r="B110" s="203" t="inlineStr">
        <is>
          <t>No.</t>
        </is>
      </c>
      <c r="C110" s="203" t="inlineStr">
        <is>
          <t>期間</t>
        </is>
      </c>
      <c r="D110" s="141" t="n"/>
      <c r="E110" s="203" t="inlineStr">
        <is>
          <t>業務内容</t>
        </is>
      </c>
      <c r="F110" s="138" t="n"/>
      <c r="G110" s="138" t="n"/>
      <c r="H110" s="138" t="n"/>
      <c r="I110" s="138" t="n"/>
      <c r="J110" s="138" t="n"/>
      <c r="K110" s="138" t="n"/>
      <c r="L110" s="138" t="n"/>
      <c r="M110" s="138" t="n"/>
      <c r="N110" s="138" t="n"/>
      <c r="O110" s="138" t="n"/>
      <c r="P110" s="138" t="n"/>
      <c r="Q110" s="141" t="n"/>
      <c r="R110" s="204" t="inlineStr">
        <is>
          <t>言語・
フレームワーク</t>
        </is>
      </c>
      <c r="S110" s="138" t="n"/>
      <c r="T110" s="141" t="n"/>
      <c r="U110" s="203" t="inlineStr">
        <is>
          <t>OS・DB・ツール</t>
        </is>
      </c>
      <c r="V110" s="138" t="n"/>
      <c r="W110" s="141" t="n"/>
      <c r="X110" s="1" t="n"/>
    </row>
    <row r="111" ht="18" customHeight="1" s="124">
      <c r="A111" s="1" t="n"/>
      <c r="B111" s="205" t="n"/>
      <c r="C111" s="133" t="n"/>
      <c r="D111" s="136" t="n"/>
      <c r="E111" s="133" t="n"/>
      <c r="F111" s="134" t="n"/>
      <c r="G111" s="134" t="n"/>
      <c r="H111" s="134" t="n"/>
      <c r="I111" s="134" t="n"/>
      <c r="J111" s="134" t="n"/>
      <c r="K111" s="134" t="n"/>
      <c r="L111" s="134" t="n"/>
      <c r="M111" s="134" t="n"/>
      <c r="N111" s="134" t="n"/>
      <c r="O111" s="134" t="n"/>
      <c r="P111" s="134" t="n"/>
      <c r="Q111" s="136" t="n"/>
      <c r="R111" s="133" t="n"/>
      <c r="S111" s="134" t="n"/>
      <c r="T111" s="136" t="n"/>
      <c r="U111" s="133" t="n"/>
      <c r="V111" s="134" t="n"/>
      <c r="W111" s="136" t="n"/>
      <c r="X111" s="1" t="n"/>
    </row>
    <row r="112" ht="18" customHeight="1" s="124">
      <c r="A112" s="1" t="n"/>
      <c r="B112" s="203" t="n">
        <v>1</v>
      </c>
      <c r="C112" s="206" t="n">
        <v>44743</v>
      </c>
      <c r="D112" s="141" t="n"/>
      <c r="E112" s="207" t="inlineStr">
        <is>
          <t>【プロジェクト名】通信ユーザー行動分析・与信スコアリングETLパイプライン構築</t>
        </is>
      </c>
      <c r="F112" s="138" t="n"/>
      <c r="G112" s="138" t="n"/>
      <c r="H112" s="138" t="n"/>
      <c r="I112" s="138" t="n"/>
      <c r="J112" s="138" t="n"/>
      <c r="K112" s="138" t="n"/>
      <c r="L112" s="138" t="n"/>
      <c r="M112" s="138" t="n"/>
      <c r="N112" s="138" t="n"/>
      <c r="O112" s="138" t="n"/>
      <c r="P112" s="138" t="n"/>
      <c r="Q112" s="141" t="n"/>
      <c r="R112" s="208" t="inlineStr">
        <is>
          <t>言語：
Python
SQL
FW：
PySpark
pandas
numpy</t>
        </is>
      </c>
      <c r="S112" s="138" t="n"/>
      <c r="T112" s="141" t="n"/>
      <c r="U112" s="208" t="inlineStr">
        <is>
          <t>OS：
Linux
DB：
Snowflake
ツール：
AWS（S3・EC2
Lambda）
Apache Airflow
Hadoop（HDFS）</t>
        </is>
      </c>
      <c r="V112" s="138" t="n"/>
      <c r="W112" s="141" t="n"/>
      <c r="X112" s="1" t="n"/>
    </row>
    <row r="113" ht="18" customHeight="1" s="124">
      <c r="A113" s="1" t="n"/>
      <c r="B113" s="209" t="n"/>
      <c r="C113" s="149" t="n"/>
      <c r="D113" s="151" t="n"/>
      <c r="E113" s="210" t="inlineStr">
        <is>
          <t>【プロジェクト概要】
B2BクライアントのためにPySparkを用いたエンドツーエンドのETLパイプラインを構築。1日10億件以上のレコードを処理し、Snowflakeベースの分析基盤を整備。
【担当業務】
・PySpark on AWS（S3・EC2・Lambda）を用いた大規模ETLパイプラインの設計・実装
・1日10億件以上の通信ログデータの処理・集計処理を開発
・ユーザー行動特徴量エンジニアリングと与信スコアリングモデル用データマートを構築
・Snowflakeへのデータロードパイプラインを整備
・パイプラインの監視・障害対応・保守を担当</t>
        </is>
      </c>
      <c r="F113" s="159" t="n"/>
      <c r="G113" s="159" t="n"/>
      <c r="H113" s="159" t="n"/>
      <c r="I113" s="159" t="n"/>
      <c r="J113" s="159" t="n"/>
      <c r="K113" s="159" t="n"/>
      <c r="L113" s="159" t="n"/>
      <c r="M113" s="159" t="n"/>
      <c r="N113" s="159" t="n"/>
      <c r="O113" s="159" t="n"/>
      <c r="P113" s="159" t="n"/>
      <c r="Q113" s="164" t="n"/>
      <c r="R113" s="186" t="n"/>
      <c r="T113" s="132" t="n"/>
      <c r="U113" s="186" t="n"/>
      <c r="W113" s="132" t="n"/>
      <c r="X113" s="1" t="n"/>
    </row>
    <row r="114" ht="18" customHeight="1" s="124">
      <c r="A114" s="1" t="n"/>
      <c r="B114" s="209" t="n"/>
      <c r="C114" s="211" t="inlineStr">
        <is>
          <t>～</t>
        </is>
      </c>
      <c r="D114" s="132" t="n"/>
      <c r="E114" s="186" t="n"/>
      <c r="Q114" s="132" t="n"/>
      <c r="R114" s="186" t="n"/>
      <c r="T114" s="132" t="n"/>
      <c r="U114" s="186" t="n"/>
      <c r="W114" s="132" t="n"/>
      <c r="X114" s="1" t="n"/>
    </row>
    <row r="115" ht="18" customHeight="1" s="124">
      <c r="A115" s="1" t="n"/>
      <c r="B115" s="209" t="n"/>
      <c r="C115" s="133" t="n"/>
      <c r="D115" s="136" t="n"/>
      <c r="E115" s="186" t="n"/>
      <c r="Q115" s="132" t="n"/>
      <c r="R115" s="186" t="n"/>
      <c r="T115" s="132" t="n"/>
      <c r="U115" s="186" t="n"/>
      <c r="W115" s="132" t="n"/>
      <c r="X115" s="1" t="n"/>
    </row>
    <row r="116" ht="18" customHeight="1" s="124">
      <c r="A116" s="1" t="n"/>
      <c r="B116" s="209" t="n"/>
      <c r="C116" s="166" t="n">
        <v>45566</v>
      </c>
      <c r="D116" s="164" t="n"/>
      <c r="E116" s="186" t="n"/>
      <c r="Q116" s="132" t="n"/>
      <c r="R116" s="186" t="n"/>
      <c r="T116" s="132" t="n"/>
      <c r="U116" s="186" t="n"/>
      <c r="W116" s="132" t="n"/>
      <c r="X116" s="1" t="n"/>
    </row>
    <row r="117" ht="18" customHeight="1" s="124">
      <c r="A117" s="1" t="n"/>
      <c r="B117" s="209" t="n"/>
      <c r="C117" s="133" t="n"/>
      <c r="D117" s="136" t="n"/>
      <c r="E117" s="186" t="n"/>
      <c r="Q117" s="132" t="n"/>
      <c r="R117" s="186" t="n"/>
      <c r="T117" s="132" t="n"/>
      <c r="U117" s="186" t="n"/>
      <c r="W117" s="132" t="n"/>
      <c r="X117" s="1" t="n"/>
    </row>
    <row r="118" ht="18" customHeight="1" s="124">
      <c r="A118" s="1" t="n"/>
      <c r="B118" s="209" t="n"/>
      <c r="C118" s="203">
        <f>DATEDIF(C112,C116,"Y")&amp;"年"&amp;DATEDIF(C112,C116,"YM")&amp;"ヶ月"</f>
        <v/>
      </c>
      <c r="D118" s="141" t="n"/>
      <c r="E118" s="186" t="n"/>
      <c r="Q118" s="132" t="n"/>
      <c r="R118" s="186" t="n"/>
      <c r="T118" s="132" t="n"/>
      <c r="U118" s="186" t="n"/>
      <c r="W118" s="132" t="n"/>
      <c r="X118" s="1" t="n"/>
    </row>
    <row r="119" ht="18" customHeight="1" s="124">
      <c r="A119" s="1" t="n"/>
      <c r="B119" s="209" t="n"/>
      <c r="C119" s="186" t="n"/>
      <c r="D119" s="132" t="n"/>
      <c r="E119" s="186" t="n"/>
      <c r="Q119" s="132" t="n"/>
      <c r="R119" s="186" t="n"/>
      <c r="T119" s="132" t="n"/>
      <c r="U119" s="186" t="n"/>
      <c r="W119" s="132" t="n"/>
      <c r="X119" s="1" t="n"/>
    </row>
    <row r="120" ht="18" customHeight="1" s="124">
      <c r="A120" s="1" t="n"/>
      <c r="B120" s="209" t="n"/>
      <c r="C120" s="186" t="n"/>
      <c r="D120" s="132" t="n"/>
      <c r="E120" s="186" t="n"/>
      <c r="Q120" s="132" t="n"/>
      <c r="R120" s="186" t="n"/>
      <c r="T120" s="132" t="n"/>
      <c r="U120" s="186" t="n"/>
      <c r="W120" s="132" t="n"/>
      <c r="X120" s="1" t="n"/>
    </row>
    <row r="121" ht="18" customHeight="1" s="124">
      <c r="A121" s="1" t="n"/>
      <c r="B121" s="209" t="n"/>
      <c r="C121" s="186" t="n"/>
      <c r="D121" s="132" t="n"/>
      <c r="E121" s="186" t="n"/>
      <c r="Q121" s="132" t="n"/>
      <c r="R121" s="186" t="n"/>
      <c r="T121" s="132" t="n"/>
      <c r="U121" s="186" t="n"/>
      <c r="W121" s="132" t="n"/>
      <c r="X121" s="1" t="n"/>
    </row>
    <row r="122" ht="18" customHeight="1" s="124">
      <c r="A122" s="1" t="n"/>
      <c r="B122" s="205" t="n"/>
      <c r="C122" s="133" t="n"/>
      <c r="D122" s="136" t="n"/>
      <c r="E122" s="133" t="n"/>
      <c r="F122" s="134" t="n"/>
      <c r="G122" s="134" t="n"/>
      <c r="H122" s="134" t="n"/>
      <c r="I122" s="134" t="n"/>
      <c r="J122" s="134" t="n"/>
      <c r="K122" s="134" t="n"/>
      <c r="L122" s="134" t="n"/>
      <c r="M122" s="134" t="n"/>
      <c r="N122" s="134" t="n"/>
      <c r="O122" s="134" t="n"/>
      <c r="P122" s="134" t="n"/>
      <c r="Q122" s="136" t="n"/>
      <c r="R122" s="133" t="n"/>
      <c r="S122" s="134" t="n"/>
      <c r="T122" s="136" t="n"/>
      <c r="U122" s="133" t="n"/>
      <c r="V122" s="134" t="n"/>
      <c r="W122" s="136" t="n"/>
      <c r="X122" s="1" t="n"/>
    </row>
    <row r="123" ht="18" customHeight="1" s="124">
      <c r="A123" s="1" t="n"/>
      <c r="B123" s="203" t="n">
        <v>2</v>
      </c>
      <c r="C123" s="212" t="n">
        <v>45383</v>
      </c>
      <c r="D123" s="141" t="n"/>
      <c r="E123" s="213" t="inlineStr">
        <is>
          <t>【プロジェクト名】API Economyパフォーマンス監視ダッシュボード開発</t>
        </is>
      </c>
      <c r="F123" s="126" t="n"/>
      <c r="G123" s="126" t="n"/>
      <c r="H123" s="126" t="n"/>
      <c r="I123" s="126" t="n"/>
      <c r="J123" s="126" t="n"/>
      <c r="K123" s="126" t="n"/>
      <c r="L123" s="126" t="n"/>
      <c r="M123" s="126" t="n"/>
      <c r="N123" s="126" t="n"/>
      <c r="O123" s="126" t="n"/>
      <c r="P123" s="126" t="n"/>
      <c r="Q123" s="128" t="n"/>
      <c r="R123" s="208" t="inlineStr">
        <is>
          <t>言語：
Python
SQL
FW：
PySpark</t>
        </is>
      </c>
      <c r="S123" s="138" t="n"/>
      <c r="T123" s="141" t="n"/>
      <c r="U123" s="208" t="inlineStr">
        <is>
          <t>OS：
Linux
DB：
BigQuery
ツール：
GCP (Dataproc, Composer)
Power BI</t>
        </is>
      </c>
      <c r="V123" s="138" t="n"/>
      <c r="W123" s="141" t="n"/>
      <c r="X123" s="1" t="n"/>
    </row>
    <row r="124" ht="18" customHeight="1" s="124">
      <c r="A124" s="1" t="n"/>
      <c r="B124" s="209" t="n"/>
      <c r="C124" s="133" t="n"/>
      <c r="D124" s="136" t="n"/>
      <c r="E124" s="214" t="inlineStr">
        <is>
          <t>【プロジェクト概要】
XL AxiataのAPI Economyの外部パートナー向けAPIパフォーマンスを可視化するダッシュボードを開発。APIレスポンスタイム30%改善、成功率15%向上、API取引収益10%増に貢献。
【担当業務】
・APIパフォーマンスデータの収集・集計パイプラインを設計・実装
・Snowflakeを用いたデータマートの構築
・ダッシュボードのKPI設計とBI実装
・レスポンスタイム・成功率・収益のリアルタイム監視機能を開発</t>
        </is>
      </c>
      <c r="Q124" s="132" t="n"/>
      <c r="R124" s="186" t="n"/>
      <c r="T124" s="132" t="n"/>
      <c r="U124" s="186" t="n"/>
      <c r="W124" s="132" t="n"/>
      <c r="X124" s="1" t="n"/>
    </row>
    <row r="125" ht="18" customHeight="1" s="124">
      <c r="A125" s="1" t="n"/>
      <c r="B125" s="209" t="n"/>
      <c r="C125" s="215" t="inlineStr">
        <is>
          <t>～</t>
        </is>
      </c>
      <c r="D125" s="164" t="n"/>
      <c r="E125" s="186" t="n"/>
      <c r="Q125" s="132" t="n"/>
      <c r="R125" s="186" t="n"/>
      <c r="T125" s="132" t="n"/>
      <c r="U125" s="186" t="n"/>
      <c r="W125" s="132" t="n"/>
      <c r="X125" s="1" t="n"/>
    </row>
    <row r="126" ht="18" customHeight="1" s="124">
      <c r="A126" s="1" t="n"/>
      <c r="B126" s="209" t="n"/>
      <c r="C126" s="133" t="n"/>
      <c r="D126" s="136" t="n"/>
      <c r="E126" s="186" t="n"/>
      <c r="Q126" s="132" t="n"/>
      <c r="R126" s="186" t="n"/>
      <c r="T126" s="132" t="n"/>
      <c r="U126" s="186" t="n"/>
      <c r="W126" s="132" t="n"/>
      <c r="X126" s="1" t="n"/>
    </row>
    <row r="127" ht="18" customHeight="1" s="124">
      <c r="A127" s="1" t="n"/>
      <c r="B127" s="209" t="n"/>
      <c r="C127" s="166" t="n">
        <v>45566</v>
      </c>
      <c r="D127" s="164" t="n"/>
      <c r="E127" s="186" t="n"/>
      <c r="Q127" s="132" t="n"/>
      <c r="R127" s="186" t="n"/>
      <c r="T127" s="132" t="n"/>
      <c r="U127" s="186" t="n"/>
      <c r="W127" s="132" t="n"/>
      <c r="X127" s="1" t="n"/>
    </row>
    <row r="128" ht="18" customHeight="1" s="124">
      <c r="A128" s="1" t="n"/>
      <c r="B128" s="209" t="n"/>
      <c r="C128" s="133" t="n"/>
      <c r="D128" s="136" t="n"/>
      <c r="E128" s="186" t="n"/>
      <c r="Q128" s="132" t="n"/>
      <c r="R128" s="186" t="n"/>
      <c r="T128" s="132" t="n"/>
      <c r="U128" s="186" t="n"/>
      <c r="W128" s="132" t="n"/>
      <c r="X128" s="1" t="n"/>
    </row>
    <row r="129" ht="18" customHeight="1" s="124">
      <c r="A129" s="1" t="n"/>
      <c r="B129" s="209" t="n"/>
      <c r="C129" s="203">
        <f>DATEDIF(C123,C127,"Y")&amp;"年"&amp;DATEDIF(C123,C127,"YM")&amp;"ヶ月"</f>
        <v/>
      </c>
      <c r="D129" s="141" t="n"/>
      <c r="E129" s="186" t="n"/>
      <c r="Q129" s="132" t="n"/>
      <c r="R129" s="186" t="n"/>
      <c r="T129" s="132" t="n"/>
      <c r="U129" s="186" t="n"/>
      <c r="W129" s="132" t="n"/>
      <c r="X129" s="1" t="n"/>
    </row>
    <row r="130" ht="18" customHeight="1" s="124">
      <c r="A130" s="1" t="n"/>
      <c r="B130" s="209" t="n"/>
      <c r="C130" s="186" t="n"/>
      <c r="D130" s="132" t="n"/>
      <c r="E130" s="186" t="n"/>
      <c r="Q130" s="132" t="n"/>
      <c r="R130" s="186" t="n"/>
      <c r="T130" s="132" t="n"/>
      <c r="U130" s="186" t="n"/>
      <c r="W130" s="132" t="n"/>
      <c r="X130" s="1" t="n"/>
    </row>
    <row r="131" ht="18" customHeight="1" s="124">
      <c r="A131" s="1" t="n"/>
      <c r="B131" s="209" t="n"/>
      <c r="C131" s="186" t="n"/>
      <c r="D131" s="132" t="n"/>
      <c r="E131" s="186" t="n"/>
      <c r="Q131" s="132" t="n"/>
      <c r="R131" s="186" t="n"/>
      <c r="T131" s="132" t="n"/>
      <c r="U131" s="186" t="n"/>
      <c r="W131" s="132" t="n"/>
      <c r="X131" s="1" t="n"/>
    </row>
    <row r="132" ht="18" customHeight="1" s="124">
      <c r="A132" s="1" t="n"/>
      <c r="B132" s="209" t="n"/>
      <c r="C132" s="186" t="n"/>
      <c r="D132" s="132" t="n"/>
      <c r="E132" s="186" t="n"/>
      <c r="Q132" s="132" t="n"/>
      <c r="R132" s="186" t="n"/>
      <c r="T132" s="132" t="n"/>
      <c r="U132" s="186" t="n"/>
      <c r="W132" s="132" t="n"/>
      <c r="X132" s="1" t="n"/>
    </row>
    <row r="133" ht="18" customHeight="1" s="124">
      <c r="A133" s="1" t="n"/>
      <c r="B133" s="205" t="n"/>
      <c r="C133" s="133" t="n"/>
      <c r="D133" s="136" t="n"/>
      <c r="E133" s="133" t="n"/>
      <c r="F133" s="134" t="n"/>
      <c r="G133" s="134" t="n"/>
      <c r="H133" s="134" t="n"/>
      <c r="I133" s="134" t="n"/>
      <c r="J133" s="134" t="n"/>
      <c r="K133" s="134" t="n"/>
      <c r="L133" s="134" t="n"/>
      <c r="M133" s="134" t="n"/>
      <c r="N133" s="134" t="n"/>
      <c r="O133" s="134" t="n"/>
      <c r="P133" s="134" t="n"/>
      <c r="Q133" s="136" t="n"/>
      <c r="R133" s="133" t="n"/>
      <c r="S133" s="134" t="n"/>
      <c r="T133" s="136" t="n"/>
      <c r="U133" s="133" t="n"/>
      <c r="V133" s="134" t="n"/>
      <c r="W133" s="136" t="n"/>
      <c r="X133" s="1" t="n"/>
    </row>
    <row r="134" ht="18" customHeight="1" s="124">
      <c r="A134" s="1" t="n"/>
      <c r="B134" s="203" t="n">
        <v>3</v>
      </c>
      <c r="C134" s="212" t="n">
        <v>45566</v>
      </c>
      <c r="D134" s="141" t="n"/>
      <c r="E134" s="207" t="inlineStr">
        <is>
          <t>【プロジェクト名】加入者プロファイルリードジェネレーションパイプライン構築</t>
        </is>
      </c>
      <c r="F134" s="138" t="n"/>
      <c r="G134" s="138" t="n"/>
      <c r="H134" s="138" t="n"/>
      <c r="I134" s="138" t="n"/>
      <c r="J134" s="138" t="n"/>
      <c r="K134" s="138" t="n"/>
      <c r="L134" s="138" t="n"/>
      <c r="M134" s="138" t="n"/>
      <c r="N134" s="138" t="n"/>
      <c r="O134" s="138" t="n"/>
      <c r="P134" s="138" t="n"/>
      <c r="Q134" s="141" t="n"/>
      <c r="R134" s="208" t="inlineStr">
        <is>
          <t>言語：
Python
SQL
FW：
PySpark
pandas
scikit-learn</t>
        </is>
      </c>
      <c r="S134" s="138" t="n"/>
      <c r="T134" s="141" t="n"/>
      <c r="U134" s="208" t="inlineStr">
        <is>
          <t>OS：
Linux
DB：
HDFS
ツール：
Hadoop (Hive, Impala, Apache Spark)</t>
        </is>
      </c>
      <c r="V134" s="138" t="n"/>
      <c r="W134" s="141" t="n"/>
      <c r="X134" s="1" t="n"/>
    </row>
    <row r="135" ht="18" customHeight="1" s="124">
      <c r="A135" s="1" t="n"/>
      <c r="B135" s="209" t="n"/>
      <c r="C135" s="133" t="n"/>
      <c r="D135" s="136" t="n"/>
      <c r="E135" s="210" t="inlineStr">
        <is>
          <t>プロジェクト概要】
XL Axiataの数百万件の加入者プロファイルを処理・エンリッチしてターゲット銀行商品獲得向けのリードを生成する月次PySpark ETLパイプラインを構築。
【担当業務】
・数百万件の加入者データを処理するPySpark月次バッチパイプラインを設計・実装
・ターゲティング用の特徴量エンジニアリングとプロファイルエンリッチメントを開発
・銀行商品獲得向けリードスコアリングロジックを実装
・月次バッチ処理の自動化とスケジューリングを構築</t>
        </is>
      </c>
      <c r="F135" s="159" t="n"/>
      <c r="G135" s="159" t="n"/>
      <c r="H135" s="159" t="n"/>
      <c r="I135" s="159" t="n"/>
      <c r="J135" s="159" t="n"/>
      <c r="K135" s="159" t="n"/>
      <c r="L135" s="159" t="n"/>
      <c r="M135" s="159" t="n"/>
      <c r="N135" s="159" t="n"/>
      <c r="O135" s="159" t="n"/>
      <c r="P135" s="159" t="n"/>
      <c r="Q135" s="164" t="n"/>
      <c r="R135" s="186" t="n"/>
      <c r="T135" s="132" t="n"/>
      <c r="U135" s="186" t="n"/>
      <c r="W135" s="132" t="n"/>
      <c r="X135" s="1" t="n"/>
    </row>
    <row r="136" ht="18" customHeight="1" s="124">
      <c r="A136" s="1" t="n"/>
      <c r="B136" s="209" t="n"/>
      <c r="C136" s="216" t="inlineStr">
        <is>
          <t>～</t>
        </is>
      </c>
      <c r="D136" s="164" t="n"/>
      <c r="E136" s="186" t="n"/>
      <c r="Q136" s="132" t="n"/>
      <c r="R136" s="186" t="n"/>
      <c r="T136" s="132" t="n"/>
      <c r="U136" s="186" t="n"/>
      <c r="W136" s="132" t="n"/>
      <c r="X136" s="1" t="n"/>
    </row>
    <row r="137" ht="18" customHeight="1" s="124">
      <c r="A137" s="1" t="n"/>
      <c r="B137" s="209" t="n"/>
      <c r="C137" s="149" t="n"/>
      <c r="D137" s="151" t="n"/>
      <c r="E137" s="186" t="n"/>
      <c r="Q137" s="132" t="n"/>
      <c r="R137" s="186" t="n"/>
      <c r="T137" s="132" t="n"/>
      <c r="U137" s="186" t="n"/>
      <c r="W137" s="132" t="n"/>
      <c r="X137" s="1" t="n"/>
    </row>
    <row r="138" ht="18" customHeight="1" s="124">
      <c r="A138" s="1" t="n"/>
      <c r="B138" s="209" t="n"/>
      <c r="C138" s="217" t="n">
        <v>45717</v>
      </c>
      <c r="D138" s="132" t="n"/>
      <c r="E138" s="186" t="n"/>
      <c r="Q138" s="132" t="n"/>
      <c r="R138" s="186" t="n"/>
      <c r="T138" s="132" t="n"/>
      <c r="U138" s="186" t="n"/>
      <c r="W138" s="132" t="n"/>
      <c r="X138" s="1" t="n"/>
    </row>
    <row r="139" ht="18" customHeight="1" s="124">
      <c r="A139" s="1" t="n"/>
      <c r="B139" s="209" t="n"/>
      <c r="C139" s="133" t="n"/>
      <c r="D139" s="136" t="n"/>
      <c r="E139" s="186" t="n"/>
      <c r="Q139" s="132" t="n"/>
      <c r="R139" s="186" t="n"/>
      <c r="T139" s="132" t="n"/>
      <c r="U139" s="186" t="n"/>
      <c r="W139" s="132" t="n"/>
      <c r="X139" s="1" t="n"/>
    </row>
    <row r="140" ht="18" customHeight="1" s="124">
      <c r="A140" s="1" t="n"/>
      <c r="B140" s="209" t="n"/>
      <c r="C140" s="203">
        <f>DATEDIF(C134,C138,"Y")&amp;"年"&amp;DATEDIF(C134,C138,"YM")&amp;"ヶ月"</f>
        <v/>
      </c>
      <c r="D140" s="141" t="n"/>
      <c r="E140" s="186" t="n"/>
      <c r="Q140" s="132" t="n"/>
      <c r="R140" s="186" t="n"/>
      <c r="T140" s="132" t="n"/>
      <c r="U140" s="186" t="n"/>
      <c r="W140" s="132" t="n"/>
      <c r="X140" s="1" t="n"/>
    </row>
    <row r="141" ht="18" customHeight="1" s="124">
      <c r="A141" s="1" t="n"/>
      <c r="B141" s="209" t="n"/>
      <c r="C141" s="186" t="n"/>
      <c r="D141" s="132" t="n"/>
      <c r="E141" s="186" t="n"/>
      <c r="Q141" s="132" t="n"/>
      <c r="R141" s="186" t="n"/>
      <c r="T141" s="132" t="n"/>
      <c r="U141" s="186" t="n"/>
      <c r="W141" s="132" t="n"/>
      <c r="X141" s="1" t="n"/>
    </row>
    <row r="142" ht="18" customHeight="1" s="124">
      <c r="A142" s="1" t="n"/>
      <c r="B142" s="209" t="n"/>
      <c r="C142" s="186" t="n"/>
      <c r="D142" s="132" t="n"/>
      <c r="E142" s="186" t="n"/>
      <c r="Q142" s="132" t="n"/>
      <c r="R142" s="186" t="n"/>
      <c r="T142" s="132" t="n"/>
      <c r="U142" s="186" t="n"/>
      <c r="W142" s="132" t="n"/>
      <c r="X142" s="1" t="n"/>
    </row>
    <row r="143" ht="18" customHeight="1" s="124">
      <c r="A143" s="1" t="n"/>
      <c r="B143" s="209" t="n"/>
      <c r="C143" s="186" t="n"/>
      <c r="D143" s="132" t="n"/>
      <c r="E143" s="186" t="n"/>
      <c r="Q143" s="132" t="n"/>
      <c r="R143" s="186" t="n"/>
      <c r="T143" s="132" t="n"/>
      <c r="U143" s="186" t="n"/>
      <c r="W143" s="132" t="n"/>
      <c r="X143" s="1" t="n"/>
    </row>
    <row r="144" ht="18" customHeight="1" s="124">
      <c r="A144" s="1" t="n"/>
      <c r="B144" s="205" t="n"/>
      <c r="C144" s="133" t="n"/>
      <c r="D144" s="136" t="n"/>
      <c r="E144" s="133" t="n"/>
      <c r="F144" s="134" t="n"/>
      <c r="G144" s="134" t="n"/>
      <c r="H144" s="134" t="n"/>
      <c r="I144" s="134" t="n"/>
      <c r="J144" s="134" t="n"/>
      <c r="K144" s="134" t="n"/>
      <c r="L144" s="134" t="n"/>
      <c r="M144" s="134" t="n"/>
      <c r="N144" s="134" t="n"/>
      <c r="O144" s="134" t="n"/>
      <c r="P144" s="134" t="n"/>
      <c r="Q144" s="136" t="n"/>
      <c r="R144" s="133" t="n"/>
      <c r="S144" s="134" t="n"/>
      <c r="T144" s="136" t="n"/>
      <c r="U144" s="133" t="n"/>
      <c r="V144" s="134" t="n"/>
      <c r="W144" s="136" t="n"/>
      <c r="X144" s="1" t="n"/>
    </row>
    <row r="145" ht="18" customHeight="1" s="124">
      <c r="A145" s="1" t="n"/>
      <c r="B145" s="32" t="n"/>
      <c r="C145" s="32" t="n"/>
      <c r="D145" s="32" t="n"/>
      <c r="E145" s="123" t="n"/>
      <c r="F145" s="123" t="n"/>
      <c r="G145" s="123" t="n"/>
      <c r="H145" s="123" t="n"/>
      <c r="I145" s="123" t="n"/>
      <c r="J145" s="123" t="n"/>
      <c r="K145" s="123" t="n"/>
      <c r="L145" s="123" t="n"/>
      <c r="M145" s="123" t="n"/>
      <c r="N145" s="123" t="n"/>
      <c r="O145" s="123" t="n"/>
      <c r="P145" s="123" t="n"/>
      <c r="Q145" s="123" t="n"/>
      <c r="R145" s="123" t="n"/>
      <c r="S145" s="123" t="n"/>
      <c r="T145" s="123" t="n"/>
      <c r="U145" s="123" t="n"/>
      <c r="V145" s="123" t="n"/>
      <c r="W145" s="123" t="n"/>
      <c r="X145" s="1" t="n"/>
    </row>
    <row r="146" ht="18" customHeight="1" s="124">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row>
    <row r="147" ht="18" customHeight="1" s="124">
      <c r="A147" s="1" t="n"/>
      <c r="B147" s="197" t="inlineStr">
        <is>
          <t>会社名</t>
        </is>
      </c>
      <c r="C147" s="139" t="n"/>
      <c r="D147" s="78">
        <f>'履歴書'!H43</f>
        <v/>
      </c>
      <c r="E147" s="126" t="n"/>
      <c r="F147" s="126" t="n"/>
      <c r="G147" s="126" t="n"/>
      <c r="H147" s="126" t="n"/>
      <c r="I147" s="126" t="n"/>
      <c r="J147" s="126" t="n"/>
      <c r="K147" s="126" t="n"/>
      <c r="L147" s="127" t="n"/>
      <c r="M147" s="198" t="inlineStr">
        <is>
          <t>雇用形態</t>
        </is>
      </c>
      <c r="N147" s="127" t="n"/>
      <c r="O147" s="95">
        <f>'履歴書'!U43</f>
        <v/>
      </c>
      <c r="P147" s="126" t="n"/>
      <c r="Q147" s="126" t="n"/>
      <c r="R147" s="126" t="n"/>
      <c r="S147" s="126" t="n"/>
      <c r="T147" s="126" t="n"/>
      <c r="U147" s="126" t="n"/>
      <c r="V147" s="126" t="n"/>
      <c r="W147" s="128" t="n"/>
      <c r="X147" s="1" t="n"/>
    </row>
    <row r="148" ht="18" customHeight="1" s="124">
      <c r="A148" s="1" t="n"/>
      <c r="B148" s="199" t="inlineStr">
        <is>
          <t>入社年月</t>
        </is>
      </c>
      <c r="C148" s="195" t="n"/>
      <c r="D148" s="167">
        <f>IF(NOT(OR(ISBLANK('履歴書'!B43),ISERROR(VALUE('履歴書'!B43)))),'履歴書'!B43,"")</f>
        <v/>
      </c>
      <c r="E148" s="194" t="n"/>
      <c r="F148" s="194" t="n"/>
      <c r="G148" s="194" t="n"/>
      <c r="H148" s="195" t="n"/>
      <c r="I148" s="200" t="inlineStr">
        <is>
          <t>退職年月</t>
        </is>
      </c>
      <c r="J148" s="130" t="n"/>
      <c r="K148" s="201">
        <f>IF(NOT(OR(ISBLANK('履歴書'!E43),ISERROR(VALUE('履歴書'!E43)))),'履歴書'!E43,"")</f>
        <v/>
      </c>
      <c r="O148" s="132" t="n"/>
      <c r="P148" s="202" t="inlineStr">
        <is>
          <t>在籍年月</t>
        </is>
      </c>
      <c r="Q148" s="195" t="n"/>
      <c r="R148" s="94">
        <f>DATEDIF(D148,K148,"Y")&amp;"年"&amp;DATEDIF(D148,K148,"YM")&amp;"ヶ月"</f>
        <v/>
      </c>
      <c r="S148" s="194" t="n"/>
      <c r="T148" s="194" t="n"/>
      <c r="U148" s="194" t="n"/>
      <c r="V148" s="194" t="n"/>
      <c r="W148" s="196" t="n"/>
      <c r="X148" s="1" t="n"/>
    </row>
    <row r="149" ht="18" customHeight="1" s="124">
      <c r="A149" s="1" t="n"/>
      <c r="B149" s="203" t="inlineStr">
        <is>
          <t>No.</t>
        </is>
      </c>
      <c r="C149" s="203" t="inlineStr">
        <is>
          <t>期間</t>
        </is>
      </c>
      <c r="D149" s="141" t="n"/>
      <c r="E149" s="203" t="inlineStr">
        <is>
          <t>業務内容</t>
        </is>
      </c>
      <c r="F149" s="138" t="n"/>
      <c r="G149" s="138" t="n"/>
      <c r="H149" s="138" t="n"/>
      <c r="I149" s="138" t="n"/>
      <c r="J149" s="138" t="n"/>
      <c r="K149" s="138" t="n"/>
      <c r="L149" s="138" t="n"/>
      <c r="M149" s="138" t="n"/>
      <c r="N149" s="138" t="n"/>
      <c r="O149" s="138" t="n"/>
      <c r="P149" s="138" t="n"/>
      <c r="Q149" s="141" t="n"/>
      <c r="R149" s="204" t="inlineStr">
        <is>
          <t>言語・
フレームワーク</t>
        </is>
      </c>
      <c r="S149" s="138" t="n"/>
      <c r="T149" s="141" t="n"/>
      <c r="U149" s="203" t="inlineStr">
        <is>
          <t>OS・DB・ツール</t>
        </is>
      </c>
      <c r="V149" s="138" t="n"/>
      <c r="W149" s="141" t="n"/>
      <c r="X149" s="1" t="n"/>
    </row>
    <row r="150" ht="18" customHeight="1" s="124">
      <c r="A150" s="1" t="n"/>
      <c r="B150" s="205" t="n"/>
      <c r="C150" s="133" t="n"/>
      <c r="D150" s="136" t="n"/>
      <c r="E150" s="133" t="n"/>
      <c r="F150" s="134" t="n"/>
      <c r="G150" s="134" t="n"/>
      <c r="H150" s="134" t="n"/>
      <c r="I150" s="134" t="n"/>
      <c r="J150" s="134" t="n"/>
      <c r="K150" s="134" t="n"/>
      <c r="L150" s="134" t="n"/>
      <c r="M150" s="134" t="n"/>
      <c r="N150" s="134" t="n"/>
      <c r="O150" s="134" t="n"/>
      <c r="P150" s="134" t="n"/>
      <c r="Q150" s="136" t="n"/>
      <c r="R150" s="133" t="n"/>
      <c r="S150" s="134" t="n"/>
      <c r="T150" s="136" t="n"/>
      <c r="U150" s="133" t="n"/>
      <c r="V150" s="134" t="n"/>
      <c r="W150" s="136" t="n"/>
      <c r="X150" s="1" t="n"/>
    </row>
    <row r="151" ht="18" customHeight="1" s="124">
      <c r="A151" s="1" t="n"/>
      <c r="B151" s="203" t="n">
        <v>1</v>
      </c>
      <c r="C151" s="206" t="n">
        <v>44228</v>
      </c>
      <c r="D151" s="141" t="n"/>
      <c r="E151" s="207" t="inlineStr">
        <is>
          <t>【プロジェクト名】KALISAワクフブロックチェーンシステム ビジネスモデル構築</t>
        </is>
      </c>
      <c r="F151" s="138" t="n"/>
      <c r="G151" s="138" t="n"/>
      <c r="H151" s="138" t="n"/>
      <c r="I151" s="138" t="n"/>
      <c r="J151" s="138" t="n"/>
      <c r="K151" s="138" t="n"/>
      <c r="L151" s="138" t="n"/>
      <c r="M151" s="138" t="n"/>
      <c r="N151" s="138" t="n"/>
      <c r="O151" s="138" t="n"/>
      <c r="P151" s="138" t="n"/>
      <c r="Q151" s="141" t="n"/>
      <c r="R151" s="208" t="inlineStr">
        <is>
          <t>言語：
Python
FW：
－</t>
        </is>
      </c>
      <c r="S151" s="138" t="n"/>
      <c r="T151" s="141" t="n"/>
      <c r="U151" s="208" t="inlineStr">
        <is>
          <t>OS：
Windows
DB：
－
ツール：
Excel
PowerPoint</t>
        </is>
      </c>
      <c r="V151" s="138" t="n"/>
      <c r="W151" s="141" t="n"/>
      <c r="X151" s="1" t="n"/>
    </row>
    <row r="152" ht="18" customHeight="1" s="124">
      <c r="A152" s="1" t="n"/>
      <c r="B152" s="209" t="n"/>
      <c r="C152" s="149" t="n"/>
      <c r="D152" s="151" t="n"/>
      <c r="E152" s="210" t="inlineStr">
        <is>
          <t>【プロジェクト概要】
新規デジタルプロダクトKALISA（ワクフ向けブロックチェーンシステム）のビジネスモデルを設計・構築。2チームと協力して策定し、最終的にKALISAの正式ビジネスモデルとして採用された。
【担当業務】
・ワクフ（イスラム寄付）のデジタル化ニーズをリサーチ・分析
・ブロックチェーン技術を活用したワクフ管理のビジネスモデルを設計
・2チームと協力してビジネスモデルキャンバスを作成・検討
・ステークホルダーへのプレゼンテーション資料を作成
・最終ビジネスモデルのKALISAへの実装を支援</t>
        </is>
      </c>
      <c r="F152" s="159" t="n"/>
      <c r="G152" s="159" t="n"/>
      <c r="H152" s="159" t="n"/>
      <c r="I152" s="159" t="n"/>
      <c r="J152" s="159" t="n"/>
      <c r="K152" s="159" t="n"/>
      <c r="L152" s="159" t="n"/>
      <c r="M152" s="159" t="n"/>
      <c r="N152" s="159" t="n"/>
      <c r="O152" s="159" t="n"/>
      <c r="P152" s="159" t="n"/>
      <c r="Q152" s="164" t="n"/>
      <c r="R152" s="186" t="n"/>
      <c r="T152" s="132" t="n"/>
      <c r="U152" s="186" t="n"/>
      <c r="W152" s="132" t="n"/>
      <c r="X152" s="1" t="n"/>
    </row>
    <row r="153" ht="18" customHeight="1" s="124">
      <c r="A153" s="1" t="n"/>
      <c r="B153" s="209" t="n"/>
      <c r="C153" s="211" t="inlineStr">
        <is>
          <t>～</t>
        </is>
      </c>
      <c r="D153" s="132" t="n"/>
      <c r="E153" s="186" t="n"/>
      <c r="Q153" s="132" t="n"/>
      <c r="R153" s="186" t="n"/>
      <c r="T153" s="132" t="n"/>
      <c r="U153" s="186" t="n"/>
      <c r="W153" s="132" t="n"/>
      <c r="X153" s="1" t="n"/>
    </row>
    <row r="154" ht="18" customHeight="1" s="124">
      <c r="A154" s="1" t="n"/>
      <c r="B154" s="209" t="n"/>
      <c r="C154" s="133" t="n"/>
      <c r="D154" s="136" t="n"/>
      <c r="E154" s="186" t="n"/>
      <c r="Q154" s="132" t="n"/>
      <c r="R154" s="186" t="n"/>
      <c r="T154" s="132" t="n"/>
      <c r="U154" s="186" t="n"/>
      <c r="W154" s="132" t="n"/>
      <c r="X154" s="1" t="n"/>
    </row>
    <row r="155" ht="18" customHeight="1" s="124">
      <c r="A155" s="1" t="n"/>
      <c r="B155" s="209" t="n"/>
      <c r="C155" s="206" t="n">
        <v>44317</v>
      </c>
      <c r="D155" s="141" t="n"/>
      <c r="E155" s="186" t="n"/>
      <c r="Q155" s="132" t="n"/>
      <c r="R155" s="186" t="n"/>
      <c r="T155" s="132" t="n"/>
      <c r="U155" s="186" t="n"/>
      <c r="W155" s="132" t="n"/>
      <c r="X155" s="1" t="n"/>
    </row>
    <row r="156" ht="18" customHeight="1" s="124">
      <c r="A156" s="1" t="n"/>
      <c r="B156" s="209" t="n"/>
      <c r="C156" s="149" t="n"/>
      <c r="D156" s="151" t="n"/>
      <c r="E156" s="186" t="n"/>
      <c r="Q156" s="132" t="n"/>
      <c r="R156" s="186" t="n"/>
      <c r="T156" s="132" t="n"/>
      <c r="U156" s="186" t="n"/>
      <c r="W156" s="132" t="n"/>
      <c r="X156" s="1" t="n"/>
    </row>
    <row r="157" ht="18" customHeight="1" s="124">
      <c r="A157" s="1" t="n"/>
      <c r="B157" s="209" t="n"/>
      <c r="C157" s="203">
        <f>DATEDIF(C151,C155,"Y")&amp;"年"&amp;DATEDIF(C151,C155,"YM")&amp;"ヶ月"</f>
        <v/>
      </c>
      <c r="D157" s="141" t="n"/>
      <c r="E157" s="186" t="n"/>
      <c r="Q157" s="132" t="n"/>
      <c r="R157" s="186" t="n"/>
      <c r="T157" s="132" t="n"/>
      <c r="U157" s="186" t="n"/>
      <c r="W157" s="132" t="n"/>
      <c r="X157" s="1" t="n"/>
    </row>
    <row r="158" ht="18" customHeight="1" s="124">
      <c r="A158" s="1" t="n"/>
      <c r="B158" s="209" t="n"/>
      <c r="C158" s="186" t="n"/>
      <c r="D158" s="132" t="n"/>
      <c r="E158" s="186" t="n"/>
      <c r="Q158" s="132" t="n"/>
      <c r="R158" s="186" t="n"/>
      <c r="T158" s="132" t="n"/>
      <c r="U158" s="186" t="n"/>
      <c r="W158" s="132" t="n"/>
      <c r="X158" s="1" t="n"/>
    </row>
    <row r="159" ht="18" customHeight="1" s="124">
      <c r="A159" s="1" t="n"/>
      <c r="B159" s="209" t="n"/>
      <c r="C159" s="186" t="n"/>
      <c r="D159" s="132" t="n"/>
      <c r="E159" s="186" t="n"/>
      <c r="Q159" s="132" t="n"/>
      <c r="R159" s="186" t="n"/>
      <c r="T159" s="132" t="n"/>
      <c r="U159" s="186" t="n"/>
      <c r="W159" s="132" t="n"/>
      <c r="X159" s="1" t="n"/>
    </row>
    <row r="160" ht="18" customHeight="1" s="124">
      <c r="A160" s="1" t="n"/>
      <c r="B160" s="209" t="n"/>
      <c r="C160" s="186" t="n"/>
      <c r="D160" s="132" t="n"/>
      <c r="E160" s="186" t="n"/>
      <c r="Q160" s="132" t="n"/>
      <c r="R160" s="186" t="n"/>
      <c r="T160" s="132" t="n"/>
      <c r="U160" s="186" t="n"/>
      <c r="W160" s="132" t="n"/>
      <c r="X160" s="1" t="n"/>
    </row>
    <row r="161" ht="18" customHeight="1" s="124">
      <c r="A161" s="1" t="n"/>
      <c r="B161" s="205" t="n"/>
      <c r="C161" s="133" t="n"/>
      <c r="D161" s="136" t="n"/>
      <c r="E161" s="133" t="n"/>
      <c r="F161" s="134" t="n"/>
      <c r="G161" s="134" t="n"/>
      <c r="H161" s="134" t="n"/>
      <c r="I161" s="134" t="n"/>
      <c r="J161" s="134" t="n"/>
      <c r="K161" s="134" t="n"/>
      <c r="L161" s="134" t="n"/>
      <c r="M161" s="134" t="n"/>
      <c r="N161" s="134" t="n"/>
      <c r="O161" s="134" t="n"/>
      <c r="P161" s="134" t="n"/>
      <c r="Q161" s="136" t="n"/>
      <c r="R161" s="133" t="n"/>
      <c r="S161" s="134" t="n"/>
      <c r="T161" s="136" t="n"/>
      <c r="U161" s="133" t="n"/>
      <c r="V161" s="134" t="n"/>
      <c r="W161" s="136" t="n"/>
      <c r="X161" s="1" t="n"/>
    </row>
    <row r="162" ht="18" customHeight="1" s="124">
      <c r="A162" s="1" t="n"/>
      <c r="B162" s="203" t="n">
        <v>2</v>
      </c>
      <c r="C162" s="206" t="n">
        <v>44317</v>
      </c>
      <c r="D162" s="141" t="n"/>
      <c r="E162" s="213" t="inlineStr">
        <is>
          <t>【プロジェクト名】T-Moneyデータ分析・探索的データ解析（EDA）</t>
        </is>
      </c>
      <c r="F162" s="126" t="n"/>
      <c r="G162" s="126" t="n"/>
      <c r="H162" s="126" t="n"/>
      <c r="I162" s="126" t="n"/>
      <c r="J162" s="126" t="n"/>
      <c r="K162" s="126" t="n"/>
      <c r="L162" s="126" t="n"/>
      <c r="M162" s="126" t="n"/>
      <c r="N162" s="126" t="n"/>
      <c r="O162" s="126" t="n"/>
      <c r="P162" s="126" t="n"/>
      <c r="Q162" s="128" t="n"/>
      <c r="R162" s="208" t="inlineStr">
        <is>
          <t>言語：
Python
SQL
FW：
pandas
numpy
matplotlib
seaborn</t>
        </is>
      </c>
      <c r="S162" s="138" t="n"/>
      <c r="T162" s="141" t="n"/>
      <c r="U162" s="208" t="inlineStr">
        <is>
          <t>OS：
Windows
DB：
－
ツール：
Jupyter Notebook
Excel</t>
        </is>
      </c>
      <c r="V162" s="138" t="n"/>
      <c r="W162" s="141" t="n"/>
      <c r="X162" s="1" t="n"/>
    </row>
    <row r="163" ht="18" customHeight="1" s="124">
      <c r="A163" s="1" t="n"/>
      <c r="B163" s="209" t="n"/>
      <c r="C163" s="149" t="n"/>
      <c r="D163" s="151" t="n"/>
      <c r="E163" s="214" t="inlineStr">
        <is>
          <t>【プロジェクト概要】
T-MoneyサービスにおけるデータクレンジングとEDAを実施。分析結果をレポートにまとめ、データドリブンな意思決定を支援。
【担当業務】
・T-Moneyの取引データのデータクレンジング・前処理を実施
・Pythonを用いた探索的データ解析（EDA）を実施
・データの傾向・異常値・インサイトを抽出してレポートを作成
・分析結果をチームに報告し、データドリブン意思決定を支援</t>
        </is>
      </c>
      <c r="Q163" s="132" t="n"/>
      <c r="R163" s="186" t="n"/>
      <c r="T163" s="132" t="n"/>
      <c r="U163" s="186" t="n"/>
      <c r="W163" s="132" t="n"/>
      <c r="X163" s="1" t="n"/>
    </row>
    <row r="164" ht="18" customHeight="1" s="124">
      <c r="A164" s="1" t="n"/>
      <c r="B164" s="209" t="n"/>
      <c r="C164" s="215" t="inlineStr">
        <is>
          <t>～</t>
        </is>
      </c>
      <c r="D164" s="164" t="n"/>
      <c r="E164" s="186" t="n"/>
      <c r="Q164" s="132" t="n"/>
      <c r="R164" s="186" t="n"/>
      <c r="T164" s="132" t="n"/>
      <c r="U164" s="186" t="n"/>
      <c r="W164" s="132" t="n"/>
      <c r="X164" s="1" t="n"/>
    </row>
    <row r="165" ht="18" customHeight="1" s="124">
      <c r="A165" s="1" t="n"/>
      <c r="B165" s="209" t="n"/>
      <c r="C165" s="133" t="n"/>
      <c r="D165" s="136" t="n"/>
      <c r="E165" s="186" t="n"/>
      <c r="Q165" s="132" t="n"/>
      <c r="R165" s="186" t="n"/>
      <c r="T165" s="132" t="n"/>
      <c r="U165" s="186" t="n"/>
      <c r="W165" s="132" t="n"/>
      <c r="X165" s="1" t="n"/>
    </row>
    <row r="166" ht="18" customHeight="1" s="124">
      <c r="A166" s="1" t="n"/>
      <c r="B166" s="209" t="n"/>
      <c r="C166" s="206" t="n">
        <v>44409</v>
      </c>
      <c r="D166" s="141" t="n"/>
      <c r="E166" s="186" t="n"/>
      <c r="Q166" s="132" t="n"/>
      <c r="R166" s="186" t="n"/>
      <c r="T166" s="132" t="n"/>
      <c r="U166" s="186" t="n"/>
      <c r="W166" s="132" t="n"/>
      <c r="X166" s="1" t="n"/>
    </row>
    <row r="167" ht="18" customHeight="1" s="124">
      <c r="A167" s="1" t="n"/>
      <c r="B167" s="209" t="n"/>
      <c r="C167" s="149" t="n"/>
      <c r="D167" s="151" t="n"/>
      <c r="E167" s="186" t="n"/>
      <c r="Q167" s="132" t="n"/>
      <c r="R167" s="186" t="n"/>
      <c r="T167" s="132" t="n"/>
      <c r="U167" s="186" t="n"/>
      <c r="W167" s="132" t="n"/>
      <c r="X167" s="1" t="n"/>
    </row>
    <row r="168" ht="18" customHeight="1" s="124">
      <c r="A168" s="1" t="n"/>
      <c r="B168" s="209" t="n"/>
      <c r="C168" s="203">
        <f>DATEDIF(C162,C166,"Y")&amp;"年"&amp;DATEDIF(C162,C166,"YM")&amp;"ヶ月"</f>
        <v/>
      </c>
      <c r="D168" s="141" t="n"/>
      <c r="E168" s="186" t="n"/>
      <c r="Q168" s="132" t="n"/>
      <c r="R168" s="186" t="n"/>
      <c r="T168" s="132" t="n"/>
      <c r="U168" s="186" t="n"/>
      <c r="W168" s="132" t="n"/>
      <c r="X168" s="1" t="n"/>
    </row>
    <row r="169" ht="18" customHeight="1" s="124">
      <c r="A169" s="1" t="n"/>
      <c r="B169" s="209" t="n"/>
      <c r="C169" s="186" t="n"/>
      <c r="D169" s="132" t="n"/>
      <c r="E169" s="186" t="n"/>
      <c r="Q169" s="132" t="n"/>
      <c r="R169" s="186" t="n"/>
      <c r="T169" s="132" t="n"/>
      <c r="U169" s="186" t="n"/>
      <c r="W169" s="132" t="n"/>
      <c r="X169" s="1" t="n"/>
    </row>
    <row r="170" ht="18" customHeight="1" s="124">
      <c r="A170" s="1" t="n"/>
      <c r="B170" s="209" t="n"/>
      <c r="C170" s="186" t="n"/>
      <c r="D170" s="132" t="n"/>
      <c r="E170" s="186" t="n"/>
      <c r="Q170" s="132" t="n"/>
      <c r="R170" s="186" t="n"/>
      <c r="T170" s="132" t="n"/>
      <c r="U170" s="186" t="n"/>
      <c r="W170" s="132" t="n"/>
      <c r="X170" s="1" t="n"/>
    </row>
    <row r="171" ht="18" customHeight="1" s="124">
      <c r="A171" s="1" t="n"/>
      <c r="B171" s="209" t="n"/>
      <c r="C171" s="186" t="n"/>
      <c r="D171" s="132" t="n"/>
      <c r="E171" s="186" t="n"/>
      <c r="Q171" s="132" t="n"/>
      <c r="R171" s="186" t="n"/>
      <c r="T171" s="132" t="n"/>
      <c r="U171" s="186" t="n"/>
      <c r="W171" s="132" t="n"/>
      <c r="X171" s="1" t="n"/>
    </row>
    <row r="172" ht="18" customHeight="1" s="124">
      <c r="A172" s="1" t="n"/>
      <c r="B172" s="205" t="n"/>
      <c r="C172" s="133" t="n"/>
      <c r="D172" s="136" t="n"/>
      <c r="E172" s="133" t="n"/>
      <c r="F172" s="134" t="n"/>
      <c r="G172" s="134" t="n"/>
      <c r="H172" s="134" t="n"/>
      <c r="I172" s="134" t="n"/>
      <c r="J172" s="134" t="n"/>
      <c r="K172" s="134" t="n"/>
      <c r="L172" s="134" t="n"/>
      <c r="M172" s="134" t="n"/>
      <c r="N172" s="134" t="n"/>
      <c r="O172" s="134" t="n"/>
      <c r="P172" s="134" t="n"/>
      <c r="Q172" s="136" t="n"/>
      <c r="R172" s="133" t="n"/>
      <c r="S172" s="134" t="n"/>
      <c r="T172" s="136" t="n"/>
      <c r="U172" s="133" t="n"/>
      <c r="V172" s="134" t="n"/>
      <c r="W172" s="136" t="n"/>
      <c r="X172" s="1" t="n"/>
    </row>
    <row r="173" ht="18" customHeight="1" s="124">
      <c r="A173" s="1" t="n"/>
      <c r="B173" s="32" t="n"/>
      <c r="C173" s="32" t="n"/>
      <c r="D173" s="32" t="n"/>
      <c r="E173" s="123" t="n"/>
      <c r="F173" s="123" t="n"/>
      <c r="G173" s="123" t="n"/>
      <c r="H173" s="123" t="n"/>
      <c r="I173" s="123" t="n"/>
      <c r="J173" s="123" t="n"/>
      <c r="K173" s="123" t="n"/>
      <c r="L173" s="123" t="n"/>
      <c r="M173" s="123" t="n"/>
      <c r="N173" s="123" t="n"/>
      <c r="O173" s="123" t="n"/>
      <c r="P173" s="123" t="n"/>
      <c r="Q173" s="123" t="n"/>
      <c r="R173" s="123" t="n"/>
      <c r="S173" s="123" t="n"/>
      <c r="T173" s="123" t="n"/>
      <c r="U173" s="123" t="n"/>
      <c r="V173" s="123" t="n"/>
      <c r="W173" s="123" t="n"/>
      <c r="X173" s="1" t="n"/>
    </row>
    <row r="174" ht="18" customHeight="1" s="124">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row>
    <row r="175" ht="15.75" customHeight="1" s="124"/>
    <row r="176" ht="15.75" customHeight="1" s="124"/>
    <row r="177" ht="15.75" customHeight="1" s="124"/>
    <row r="178" ht="15.75" customHeight="1" s="124"/>
    <row r="179" ht="15.75" customHeight="1" s="124"/>
    <row r="180" ht="15.75" customHeight="1" s="124"/>
    <row r="181" ht="15.75" customHeight="1" s="124"/>
    <row r="182" ht="15.75" customHeight="1" s="124"/>
    <row r="183" ht="15.75" customHeight="1" s="124"/>
    <row r="184" ht="15.75" customHeight="1" s="124"/>
    <row r="185" ht="15.75" customHeight="1" s="124"/>
    <row r="186" ht="15.75" customHeight="1" s="124"/>
    <row r="187" ht="15.75" customHeight="1" s="124"/>
    <row r="188" ht="15.75" customHeight="1" s="124"/>
    <row r="189" ht="15.75" customHeight="1" s="124"/>
    <row r="190" ht="15.75" customHeight="1" s="124"/>
    <row r="191" ht="15.75" customHeight="1" s="124"/>
    <row r="192" ht="15.75" customHeight="1" s="124"/>
    <row r="193" ht="15.75" customHeight="1" s="124"/>
    <row r="194" ht="15.75" customHeight="1" s="124"/>
    <row r="195" ht="15.75" customHeight="1" s="124"/>
    <row r="196" ht="15.75" customHeight="1" s="124"/>
    <row r="197" ht="15.75" customHeight="1" s="124"/>
    <row r="198" ht="15.75" customHeight="1" s="124"/>
    <row r="199" ht="15.75" customHeight="1" s="124"/>
    <row r="200" ht="15.75" customHeight="1" s="124"/>
    <row r="201" ht="15.75" customHeight="1" s="124"/>
    <row r="202" ht="15.75" customHeight="1" s="124"/>
    <row r="203" ht="15.75" customHeight="1" s="124"/>
    <row r="204" ht="15.75" customHeight="1" s="124"/>
    <row r="205" ht="15.75" customHeight="1" s="124"/>
    <row r="206" ht="15.75" customHeight="1" s="124"/>
    <row r="207" ht="15.75" customHeight="1" s="124"/>
    <row r="208" ht="15.75" customHeight="1" s="124"/>
    <row r="209" ht="15.75" customHeight="1" s="124"/>
    <row r="210" ht="15.75" customHeight="1" s="124"/>
    <row r="211" ht="15.75" customHeight="1" s="124"/>
    <row r="212" ht="15.75" customHeight="1" s="124"/>
    <row r="213" ht="15.75" customHeight="1" s="124"/>
    <row r="214" ht="15.75" customHeight="1" s="124"/>
    <row r="215" ht="15.75" customHeight="1" s="124"/>
    <row r="216" ht="15.75" customHeight="1" s="124"/>
    <row r="217" ht="15.75" customHeight="1" s="124"/>
    <row r="218" ht="15.75" customHeight="1" s="124"/>
    <row r="219" ht="15.75" customHeight="1" s="124"/>
    <row r="220" ht="15.75" customHeight="1" s="124"/>
    <row r="221" ht="15.75" customHeight="1" s="124"/>
    <row r="222" ht="15.75" customHeight="1" s="124"/>
    <row r="223" ht="15.75" customHeight="1" s="124"/>
    <row r="224" ht="15.75" customHeight="1" s="124"/>
    <row r="225" ht="15.75" customHeight="1" s="124"/>
    <row r="226" ht="15.75" customHeight="1" s="124"/>
    <row r="227" ht="15.75" customHeight="1" s="124"/>
    <row r="228" ht="15.75" customHeight="1" s="124"/>
    <row r="229" ht="15.75" customHeight="1" s="124"/>
    <row r="230" ht="15.75" customHeight="1" s="124"/>
    <row r="231" ht="15.75" customHeight="1" s="124"/>
    <row r="232" ht="15.75" customHeight="1" s="124"/>
    <row r="233" ht="15.75" customHeight="1" s="124"/>
    <row r="234" ht="15.75" customHeight="1" s="124"/>
    <row r="235" ht="15.75" customHeight="1" s="124"/>
    <row r="236" ht="15.75" customHeight="1" s="124"/>
    <row r="237" ht="15.75" customHeight="1" s="124"/>
    <row r="238" ht="15.75" customHeight="1" s="124"/>
    <row r="239" ht="15.75" customHeight="1" s="124"/>
    <row r="240" ht="15.75" customHeight="1" s="124"/>
    <row r="241" ht="15.75" customHeight="1" s="124"/>
    <row r="242" ht="15.75" customHeight="1" s="124"/>
    <row r="243" ht="15.75" customHeight="1" s="124"/>
    <row r="244" ht="15.75" customHeight="1" s="124"/>
    <row r="245" ht="15.75" customHeight="1" s="124"/>
    <row r="246" ht="15.75" customHeight="1" s="124"/>
    <row r="247" ht="15.75" customHeight="1" s="124"/>
    <row r="248" ht="15.75" customHeight="1" s="124"/>
    <row r="249" ht="15.75" customHeight="1" s="124"/>
    <row r="250" ht="15.75" customHeight="1" s="124"/>
    <row r="251" ht="15.75" customHeight="1" s="124"/>
    <row r="252" ht="15.75" customHeight="1" s="124"/>
    <row r="253" ht="15.75" customHeight="1" s="124"/>
    <row r="254" ht="15.75" customHeight="1" s="124"/>
    <row r="255" ht="15.75" customHeight="1" s="124"/>
    <row r="256" ht="15.75" customHeight="1" s="124"/>
    <row r="257" ht="15.75" customHeight="1" s="124"/>
    <row r="258" ht="15.75" customHeight="1" s="124"/>
    <row r="259" ht="15.75" customHeight="1" s="124"/>
    <row r="260" ht="15.75" customHeight="1" s="124"/>
    <row r="261" ht="15.75" customHeight="1" s="124"/>
    <row r="262" ht="15.75" customHeight="1" s="124"/>
    <row r="263" ht="15.75" customHeight="1" s="124"/>
    <row r="264" ht="15.75" customHeight="1" s="124"/>
    <row r="265" ht="15.75" customHeight="1" s="124"/>
    <row r="266" ht="15.75" customHeight="1" s="124"/>
    <row r="267" ht="15.75" customHeight="1" s="124"/>
    <row r="268" ht="15.75" customHeight="1" s="124"/>
    <row r="269" ht="15.75" customHeight="1" s="124"/>
    <row r="270" ht="15.75" customHeight="1" s="124"/>
    <row r="271" ht="15.75" customHeight="1" s="124"/>
    <row r="272" ht="15.75" customHeight="1" s="124"/>
    <row r="273" ht="15.75" customHeight="1" s="124"/>
    <row r="274" ht="15.75" customHeight="1" s="124"/>
    <row r="275" ht="15.75" customHeight="1" s="124"/>
    <row r="276" ht="15.75" customHeight="1" s="124"/>
    <row r="277" ht="15.75" customHeight="1" s="124"/>
    <row r="278" ht="15.75" customHeight="1" s="124"/>
    <row r="279" ht="15.75" customHeight="1" s="124"/>
    <row r="280" ht="15.75" customHeight="1" s="124"/>
    <row r="281" ht="15.75" customHeight="1" s="124"/>
    <row r="282" ht="15.75" customHeight="1" s="124"/>
    <row r="283" ht="15.75" customHeight="1" s="124"/>
    <row r="284" ht="15.75" customHeight="1" s="124"/>
    <row r="285" ht="15.75" customHeight="1" s="124"/>
    <row r="286" ht="15.75" customHeight="1" s="124"/>
    <row r="287" ht="15.75" customHeight="1" s="124"/>
    <row r="288" ht="15.75" customHeight="1" s="124"/>
    <row r="289" ht="15.75" customHeight="1" s="124"/>
    <row r="290" ht="15.75" customHeight="1" s="124"/>
    <row r="291" ht="15.75" customHeight="1" s="124"/>
    <row r="292" ht="15.75" customHeight="1" s="124"/>
    <row r="293" ht="15.75" customHeight="1" s="124"/>
    <row r="294" ht="15.75" customHeight="1" s="124"/>
    <row r="295" ht="15.75" customHeight="1" s="124"/>
    <row r="296" ht="15.75" customHeight="1" s="124"/>
    <row r="297" ht="15.75" customHeight="1" s="124"/>
    <row r="298" ht="15.75" customHeight="1" s="124"/>
    <row r="299" ht="15.75" customHeight="1" s="124"/>
    <row r="300" ht="15.75" customHeight="1" s="124"/>
    <row r="301" ht="15.75" customHeight="1" s="124"/>
    <row r="302" ht="15.75" customHeight="1" s="124"/>
    <row r="303" ht="15.75" customHeight="1" s="124"/>
    <row r="304" ht="15.75" customHeight="1" s="124"/>
    <row r="305" ht="15.75" customHeight="1" s="124"/>
    <row r="306" ht="15.75" customHeight="1" s="124"/>
    <row r="307" ht="15.75" customHeight="1" s="124"/>
    <row r="308" ht="15.75" customHeight="1" s="124"/>
    <row r="309" ht="15.75" customHeight="1" s="124"/>
    <row r="310" ht="15.75" customHeight="1" s="124"/>
    <row r="311" ht="15.75" customHeight="1" s="124"/>
    <row r="312" ht="15.75" customHeight="1" s="124"/>
    <row r="313" ht="15.75" customHeight="1" s="124"/>
    <row r="314" ht="15.75" customHeight="1" s="124"/>
    <row r="315" ht="15.75" customHeight="1" s="124"/>
    <row r="316" ht="15.75" customHeight="1" s="124"/>
    <row r="317" ht="15.75" customHeight="1" s="124"/>
    <row r="318" ht="15.75" customHeight="1" s="124"/>
    <row r="319" ht="15.75" customHeight="1" s="124"/>
    <row r="320" ht="15.75" customHeight="1" s="124"/>
    <row r="321" ht="15.75" customHeight="1" s="124"/>
    <row r="322" ht="15.75" customHeight="1" s="124"/>
    <row r="323" ht="15.75" customHeight="1" s="124"/>
    <row r="324" ht="15.75" customHeight="1" s="124"/>
    <row r="325" ht="15.75" customHeight="1" s="124"/>
    <row r="326" ht="15.75" customHeight="1" s="124"/>
    <row r="327" ht="15.75" customHeight="1" s="124"/>
    <row r="328" ht="15.75" customHeight="1" s="124"/>
    <row r="329" ht="15.75" customHeight="1" s="124"/>
    <row r="330" ht="15.75" customHeight="1" s="124"/>
    <row r="331" ht="15.75" customHeight="1" s="124"/>
    <row r="332" ht="15.75" customHeight="1" s="124"/>
    <row r="333" ht="15.75" customHeight="1" s="124"/>
    <row r="334" ht="15.75" customHeight="1" s="124"/>
    <row r="335" ht="15.75" customHeight="1" s="124"/>
    <row r="336" ht="15.75" customHeight="1" s="124"/>
    <row r="337" ht="15.75" customHeight="1" s="124"/>
    <row r="338" ht="15.75" customHeight="1" s="124"/>
    <row r="339" ht="15.75" customHeight="1" s="124"/>
    <row r="340" ht="15.75" customHeight="1" s="124"/>
    <row r="341" ht="15.75" customHeight="1" s="124"/>
    <row r="342" ht="15.75" customHeight="1" s="124"/>
    <row r="343" ht="15.75" customHeight="1" s="124"/>
    <row r="344" ht="15.75" customHeight="1" s="124"/>
    <row r="345" ht="15.75" customHeight="1" s="124"/>
    <row r="346" ht="15.75" customHeight="1" s="124"/>
    <row r="347" ht="15.75" customHeight="1" s="124"/>
    <row r="348" ht="15.75" customHeight="1" s="124"/>
    <row r="349" ht="15.75" customHeight="1" s="124"/>
    <row r="350" ht="15.75" customHeight="1" s="124"/>
    <row r="351" ht="15.75" customHeight="1" s="124"/>
    <row r="352" ht="15.75" customHeight="1" s="124"/>
    <row r="353" ht="15.75" customHeight="1" s="124"/>
    <row r="354" ht="15.75" customHeight="1" s="124"/>
    <row r="355" ht="15.75" customHeight="1" s="124"/>
    <row r="356" ht="15.75" customHeight="1" s="124"/>
    <row r="357" ht="15.75" customHeight="1" s="124"/>
    <row r="358" ht="15.75" customHeight="1" s="124"/>
    <row r="359" ht="15.75" customHeight="1" s="124"/>
    <row r="360" ht="15.75" customHeight="1" s="124"/>
    <row r="361" ht="15.75" customHeight="1" s="124"/>
    <row r="362" ht="15.75" customHeight="1" s="124"/>
    <row r="363" ht="15.75" customHeight="1" s="124"/>
    <row r="364" ht="15.75" customHeight="1" s="124"/>
    <row r="365" ht="15.75" customHeight="1" s="124"/>
    <row r="366" ht="15.75" customHeight="1" s="124"/>
    <row r="367" ht="15.75" customHeight="1" s="124"/>
    <row r="368" ht="15.75" customHeight="1" s="124"/>
    <row r="369" ht="15.75" customHeight="1" s="124"/>
    <row r="370" ht="15.75" customHeight="1" s="124"/>
    <row r="371" ht="15.75" customHeight="1" s="124"/>
    <row r="372" ht="15.75" customHeight="1" s="124"/>
    <row r="373" ht="15.75" customHeight="1" s="124"/>
    <row r="374" ht="15.75" customHeight="1" s="124"/>
    <row r="375" ht="15.75" customHeight="1" s="124"/>
    <row r="376" ht="15.75" customHeight="1" s="124"/>
    <row r="377" ht="15.75" customHeight="1" s="124"/>
    <row r="378" ht="15.75" customHeight="1" s="124"/>
    <row r="379" ht="15.75" customHeight="1" s="124"/>
    <row r="380" ht="15.75" customHeight="1" s="124"/>
    <row r="381" ht="15.75" customHeight="1" s="124"/>
    <row r="382" ht="15.75" customHeight="1" s="124"/>
    <row r="383" ht="15.75" customHeight="1" s="124"/>
    <row r="384" ht="15.75" customHeight="1" s="124"/>
    <row r="385" ht="15.75" customHeight="1" s="124"/>
    <row r="386" ht="15.75" customHeight="1" s="124"/>
    <row r="387" ht="15.75" customHeight="1" s="124"/>
    <row r="388" ht="15.75" customHeight="1" s="124"/>
    <row r="389" ht="15.75" customHeight="1" s="124"/>
    <row r="390" ht="15.75" customHeight="1" s="124"/>
    <row r="391" ht="15.75" customHeight="1" s="124"/>
    <row r="392" ht="15.75" customHeight="1" s="124"/>
    <row r="393" ht="15.75" customHeight="1" s="124"/>
    <row r="394" ht="15.75" customHeight="1" s="124"/>
    <row r="395" ht="15.75" customHeight="1" s="124"/>
    <row r="396" ht="15.75" customHeight="1" s="124"/>
    <row r="397" ht="15.75" customHeight="1" s="124"/>
    <row r="398" ht="15.75" customHeight="1" s="124"/>
    <row r="399" ht="15.75" customHeight="1" s="124"/>
    <row r="400" ht="15.75" customHeight="1" s="124"/>
    <row r="401" ht="15.75" customHeight="1" s="124"/>
    <row r="402" ht="15.75" customHeight="1" s="124"/>
    <row r="403" ht="15.75" customHeight="1" s="124"/>
    <row r="404" ht="15.75" customHeight="1" s="124"/>
    <row r="405" ht="15.75" customHeight="1" s="124"/>
    <row r="406" ht="15.75" customHeight="1" s="124"/>
    <row r="407" ht="15.75" customHeight="1" s="124"/>
    <row r="408" ht="15.75" customHeight="1" s="124"/>
    <row r="409" ht="15.75" customHeight="1" s="124"/>
    <row r="410" ht="15.75" customHeight="1" s="124"/>
    <row r="411" ht="15.75" customHeight="1" s="124"/>
    <row r="412" ht="15.75" customHeight="1" s="124"/>
    <row r="413" ht="15.75" customHeight="1" s="124"/>
    <row r="414" ht="15.75" customHeight="1" s="124"/>
    <row r="415" ht="15.75" customHeight="1" s="124"/>
    <row r="416" ht="15.75" customHeight="1" s="124"/>
    <row r="417" ht="15.75" customHeight="1" s="124"/>
    <row r="418" ht="15.75" customHeight="1" s="124"/>
    <row r="419" ht="15.75" customHeight="1" s="124"/>
    <row r="420" ht="15.75" customHeight="1" s="124"/>
    <row r="421" ht="15.75" customHeight="1" s="124"/>
    <row r="422" ht="15.75" customHeight="1" s="124"/>
    <row r="423" ht="15.75" customHeight="1" s="124"/>
    <row r="424" ht="15.75" customHeight="1" s="124"/>
    <row r="425" ht="15.75" customHeight="1" s="124"/>
    <row r="426" ht="15.75" customHeight="1" s="124"/>
    <row r="427" ht="15.75" customHeight="1" s="124"/>
    <row r="428" ht="15.75" customHeight="1" s="124"/>
    <row r="429" ht="15.75" customHeight="1" s="124"/>
    <row r="430" ht="15.75" customHeight="1" s="124"/>
    <row r="431" ht="15.75" customHeight="1" s="124"/>
    <row r="432" ht="15.75" customHeight="1" s="124"/>
    <row r="433" ht="15.75" customHeight="1" s="124"/>
    <row r="434" ht="15.75" customHeight="1" s="124"/>
    <row r="435" ht="15.75" customHeight="1" s="124"/>
    <row r="436" ht="15.75" customHeight="1" s="124"/>
    <row r="437" ht="15.75" customHeight="1" s="124"/>
    <row r="438" ht="15.75" customHeight="1" s="124"/>
    <row r="439" ht="15.75" customHeight="1" s="124"/>
    <row r="440" ht="15.75" customHeight="1" s="124"/>
    <row r="441" ht="15.75" customHeight="1" s="124"/>
    <row r="442" ht="15.75" customHeight="1" s="124"/>
    <row r="443" ht="15.75" customHeight="1" s="124"/>
    <row r="444" ht="15.75" customHeight="1" s="124"/>
    <row r="445" ht="15.75" customHeight="1" s="124"/>
    <row r="446" ht="15.75" customHeight="1" s="124"/>
    <row r="447" ht="15.75" customHeight="1" s="124"/>
    <row r="448" ht="15.75" customHeight="1" s="124"/>
    <row r="449" ht="15.75" customHeight="1" s="124"/>
    <row r="450" ht="15.75" customHeight="1" s="124"/>
    <row r="451" ht="15.75" customHeight="1" s="124"/>
    <row r="452" ht="15.75" customHeight="1" s="124"/>
    <row r="453" ht="15.75" customHeight="1" s="124"/>
    <row r="454" ht="15.75" customHeight="1" s="124"/>
    <row r="455" ht="15.75" customHeight="1" s="124"/>
    <row r="456" ht="15.75" customHeight="1" s="124"/>
    <row r="457" ht="15.75" customHeight="1" s="124"/>
    <row r="458" ht="15.75" customHeight="1" s="124"/>
    <row r="459" ht="15.75" customHeight="1" s="124"/>
    <row r="460" ht="15.75" customHeight="1" s="124"/>
    <row r="461" ht="15.75" customHeight="1" s="124"/>
    <row r="462" ht="15.75" customHeight="1" s="124"/>
    <row r="463" ht="15.75" customHeight="1" s="124"/>
    <row r="464" ht="15.75" customHeight="1" s="124"/>
    <row r="465" ht="15.75" customHeight="1" s="124"/>
    <row r="466" ht="15.75" customHeight="1" s="124"/>
    <row r="467" ht="15.75" customHeight="1" s="124"/>
    <row r="468" ht="15.75" customHeight="1" s="124"/>
    <row r="469" ht="15.75" customHeight="1" s="124"/>
    <row r="470" ht="15.75" customHeight="1" s="124"/>
    <row r="471" ht="15.75" customHeight="1" s="124"/>
    <row r="472" ht="15.75" customHeight="1" s="124"/>
    <row r="473" ht="15.75" customHeight="1" s="124"/>
    <row r="474" ht="15.75" customHeight="1" s="124"/>
    <row r="475" ht="15.75" customHeight="1" s="124"/>
    <row r="476" ht="15.75" customHeight="1" s="124"/>
    <row r="477" ht="15.75" customHeight="1" s="124"/>
    <row r="478" ht="15.75" customHeight="1" s="124"/>
    <row r="479" ht="15.75" customHeight="1" s="124"/>
    <row r="480" ht="15.75" customHeight="1" s="124"/>
    <row r="481" ht="15.75" customHeight="1" s="124"/>
    <row r="482" ht="15.75" customHeight="1" s="124"/>
    <row r="483" ht="15.75" customHeight="1" s="124"/>
    <row r="484" ht="15.75" customHeight="1" s="124"/>
    <row r="485" ht="15.75" customHeight="1" s="124"/>
    <row r="486" ht="15.75" customHeight="1" s="124"/>
    <row r="487" ht="15.75" customHeight="1" s="124"/>
    <row r="488" ht="15.75" customHeight="1" s="124"/>
    <row r="489" ht="15.75" customHeight="1" s="124"/>
    <row r="490" ht="15.75" customHeight="1" s="124"/>
    <row r="491" ht="15.75" customHeight="1" s="124"/>
    <row r="492" ht="15.75" customHeight="1" s="124"/>
    <row r="493" ht="15.75" customHeight="1" s="124"/>
    <row r="494" ht="15.75" customHeight="1" s="124"/>
    <row r="495" ht="15.75" customHeight="1" s="124"/>
    <row r="496" ht="15.75" customHeight="1" s="124"/>
    <row r="497" ht="15.75" customHeight="1" s="124"/>
    <row r="498" ht="15.75" customHeight="1" s="124"/>
    <row r="499" ht="15.75" customHeight="1" s="124"/>
    <row r="500" ht="15.75" customHeight="1" s="124"/>
    <row r="501" ht="15.75" customHeight="1" s="124"/>
    <row r="502" ht="15.75" customHeight="1" s="124"/>
    <row r="503" ht="15.75" customHeight="1" s="124"/>
    <row r="504" ht="15.75" customHeight="1" s="124"/>
    <row r="505" ht="15.75" customHeight="1" s="124"/>
    <row r="506" ht="15.75" customHeight="1" s="124"/>
    <row r="507" ht="15.75" customHeight="1" s="124"/>
    <row r="508" ht="15.75" customHeight="1" s="124"/>
    <row r="509" ht="15.75" customHeight="1" s="124"/>
    <row r="510" ht="15.75" customHeight="1" s="124"/>
    <row r="511" ht="15.75" customHeight="1" s="124"/>
    <row r="512" ht="15.75" customHeight="1" s="124"/>
    <row r="513" ht="15.75" customHeight="1" s="124"/>
    <row r="514" ht="15.75" customHeight="1" s="124"/>
    <row r="515" ht="15.75" customHeight="1" s="124"/>
    <row r="516" ht="15.75" customHeight="1" s="124"/>
    <row r="517" ht="15.75" customHeight="1" s="124"/>
    <row r="518" ht="15.75" customHeight="1" s="124"/>
    <row r="519" ht="15.75" customHeight="1" s="124"/>
    <row r="520" ht="15.75" customHeight="1" s="124"/>
    <row r="521" ht="15.75" customHeight="1" s="124"/>
    <row r="522" ht="15.75" customHeight="1" s="124"/>
    <row r="523" ht="15.75" customHeight="1" s="124"/>
    <row r="524" ht="15.75" customHeight="1" s="124"/>
    <row r="525" ht="15.75" customHeight="1" s="124"/>
    <row r="526" ht="15.75" customHeight="1" s="124"/>
    <row r="527" ht="15.75" customHeight="1" s="124"/>
    <row r="528" ht="15.75" customHeight="1" s="124"/>
    <row r="529" ht="15.75" customHeight="1" s="124"/>
    <row r="530" ht="15.75" customHeight="1" s="124"/>
    <row r="531" ht="15.75" customHeight="1" s="124"/>
    <row r="532" ht="15.75" customHeight="1" s="124"/>
    <row r="533" ht="15.75" customHeight="1" s="124"/>
    <row r="534" ht="15.75" customHeight="1" s="124"/>
    <row r="535" ht="15.75" customHeight="1" s="124"/>
    <row r="536" ht="15.75" customHeight="1" s="124"/>
    <row r="537" ht="15.75" customHeight="1" s="124"/>
    <row r="538" ht="15.75" customHeight="1" s="124"/>
    <row r="539" ht="15.75" customHeight="1" s="124"/>
    <row r="540" ht="15.75" customHeight="1" s="124"/>
    <row r="541" ht="15.75" customHeight="1" s="124"/>
    <row r="542" ht="15.75" customHeight="1" s="124"/>
    <row r="543" ht="15.75" customHeight="1" s="124"/>
    <row r="544" ht="15.75" customHeight="1" s="124"/>
    <row r="545" ht="15.75" customHeight="1" s="124"/>
    <row r="546" ht="15.75" customHeight="1" s="124"/>
    <row r="547" ht="15.75" customHeight="1" s="124"/>
    <row r="548" ht="15.75" customHeight="1" s="124"/>
    <row r="549" ht="15.75" customHeight="1" s="124"/>
    <row r="550" ht="15.75" customHeight="1" s="124"/>
    <row r="551" ht="15.75" customHeight="1" s="124"/>
    <row r="552" ht="15.75" customHeight="1" s="124"/>
    <row r="553" ht="15.75" customHeight="1" s="124"/>
    <row r="554" ht="15.75" customHeight="1" s="124"/>
    <row r="555" ht="15.75" customHeight="1" s="124"/>
    <row r="556" ht="15.75" customHeight="1" s="124"/>
    <row r="557" ht="15.75" customHeight="1" s="124"/>
    <row r="558" ht="15.75" customHeight="1" s="124"/>
    <row r="559" ht="15.75" customHeight="1" s="124"/>
    <row r="560" ht="15.75" customHeight="1" s="124"/>
    <row r="561" ht="15.75" customHeight="1" s="124"/>
    <row r="562" ht="15.75" customHeight="1" s="124"/>
    <row r="563" ht="15.75" customHeight="1" s="124"/>
    <row r="564" ht="15.75" customHeight="1" s="124"/>
    <row r="565" ht="15.75" customHeight="1" s="124"/>
    <row r="566" ht="15.75" customHeight="1" s="124"/>
    <row r="567" ht="15.75" customHeight="1" s="124"/>
    <row r="568" ht="15.75" customHeight="1" s="124"/>
    <row r="569" ht="15.75" customHeight="1" s="124"/>
    <row r="570" ht="15.75" customHeight="1" s="124"/>
    <row r="571" ht="15.75" customHeight="1" s="124"/>
    <row r="572" ht="15.75" customHeight="1" s="124"/>
    <row r="573" ht="15.75" customHeight="1" s="124"/>
    <row r="574" ht="15.75" customHeight="1" s="124"/>
    <row r="575" ht="15.75" customHeight="1" s="124"/>
    <row r="576" ht="15.75" customHeight="1" s="124"/>
    <row r="577" ht="15.75" customHeight="1" s="124"/>
    <row r="578" ht="15.75" customHeight="1" s="124"/>
    <row r="579" ht="15.75" customHeight="1" s="124"/>
    <row r="580" ht="15.75" customHeight="1" s="124"/>
    <row r="581" ht="15.75" customHeight="1" s="124"/>
    <row r="582" ht="15.75" customHeight="1" s="124"/>
    <row r="583" ht="15.75" customHeight="1" s="124"/>
    <row r="584" ht="15.75" customHeight="1" s="124"/>
    <row r="585" ht="15.75" customHeight="1" s="124"/>
    <row r="586" ht="15.75" customHeight="1" s="124"/>
    <row r="587" ht="15.75" customHeight="1" s="124"/>
    <row r="588" ht="15.75" customHeight="1" s="124"/>
    <row r="589" ht="15.75" customHeight="1" s="124"/>
    <row r="590" ht="15.75" customHeight="1" s="124"/>
    <row r="591" ht="15.75" customHeight="1" s="124"/>
    <row r="592" ht="15.75" customHeight="1" s="124"/>
    <row r="593" ht="15.75" customHeight="1" s="124"/>
    <row r="594" ht="15.75" customHeight="1" s="124"/>
    <row r="595" ht="15.75" customHeight="1" s="124"/>
    <row r="596" ht="15.75" customHeight="1" s="124"/>
    <row r="597" ht="15.75" customHeight="1" s="124"/>
    <row r="598" ht="15.75" customHeight="1" s="124"/>
    <row r="599" ht="15.75" customHeight="1" s="124"/>
    <row r="600" ht="15.75" customHeight="1" s="124"/>
    <row r="601" ht="15.75" customHeight="1" s="124"/>
    <row r="602" ht="15.75" customHeight="1" s="124"/>
    <row r="603" ht="15.75" customHeight="1" s="124"/>
    <row r="604" ht="15.75" customHeight="1" s="124"/>
    <row r="605" ht="15.75" customHeight="1" s="124"/>
    <row r="606" ht="15.75" customHeight="1" s="124"/>
    <row r="607" ht="15.75" customHeight="1" s="124"/>
    <row r="608" ht="15.75" customHeight="1" s="124"/>
    <row r="609" ht="15.75" customHeight="1" s="124"/>
    <row r="610" ht="15.75" customHeight="1" s="124"/>
    <row r="611" ht="15.75" customHeight="1" s="124"/>
    <row r="612" ht="15.75" customHeight="1" s="124"/>
    <row r="613" ht="15.75" customHeight="1" s="124"/>
    <row r="614" ht="15.75" customHeight="1" s="124"/>
    <row r="615" ht="15.75" customHeight="1" s="124"/>
    <row r="616" ht="15.75" customHeight="1" s="124"/>
    <row r="617" ht="15.75" customHeight="1" s="124"/>
    <row r="618" ht="15.75" customHeight="1" s="124"/>
    <row r="619" ht="15.75" customHeight="1" s="124"/>
    <row r="620" ht="15.75" customHeight="1" s="124"/>
    <row r="621" ht="15.75" customHeight="1" s="124"/>
    <row r="622" ht="15.75" customHeight="1" s="124"/>
    <row r="623" ht="15.75" customHeight="1" s="124"/>
    <row r="624" ht="15.75" customHeight="1" s="124"/>
    <row r="625" ht="15.75" customHeight="1" s="124"/>
    <row r="626" ht="15.75" customHeight="1" s="124"/>
    <row r="627" ht="15.75" customHeight="1" s="124"/>
    <row r="628" ht="15.75" customHeight="1" s="124"/>
    <row r="629" ht="15.75" customHeight="1" s="124"/>
    <row r="630" ht="15.75" customHeight="1" s="124"/>
    <row r="631" ht="15.75" customHeight="1" s="124"/>
    <row r="632" ht="15.75" customHeight="1" s="124"/>
    <row r="633" ht="15.75" customHeight="1" s="124"/>
    <row r="634" ht="15.75" customHeight="1" s="124"/>
    <row r="635" ht="15.75" customHeight="1" s="124"/>
    <row r="636" ht="15.75" customHeight="1" s="124"/>
    <row r="637" ht="15.75" customHeight="1" s="124"/>
    <row r="638" ht="15.75" customHeight="1" s="124"/>
    <row r="639" ht="15.75" customHeight="1" s="124"/>
    <row r="640" ht="15.75" customHeight="1" s="124"/>
    <row r="641" ht="15.75" customHeight="1" s="124"/>
    <row r="642" ht="15.75" customHeight="1" s="124"/>
    <row r="643" ht="15.75" customHeight="1" s="124"/>
    <row r="644" ht="15.75" customHeight="1" s="124"/>
    <row r="645" ht="15.75" customHeight="1" s="124"/>
    <row r="646" ht="15.75" customHeight="1" s="124"/>
    <row r="647" ht="15.75" customHeight="1" s="124"/>
    <row r="648" ht="15.75" customHeight="1" s="124"/>
    <row r="649" ht="15.75" customHeight="1" s="124"/>
    <row r="650" ht="15.75" customHeight="1" s="124"/>
    <row r="651" ht="15.75" customHeight="1" s="124"/>
    <row r="652" ht="15.75" customHeight="1" s="124"/>
    <row r="653" ht="15.75" customHeight="1" s="124"/>
    <row r="654" ht="15.75" customHeight="1" s="124"/>
    <row r="655" ht="15.75" customHeight="1" s="124"/>
    <row r="656" ht="15.75" customHeight="1" s="124"/>
    <row r="657" ht="15.75" customHeight="1" s="124"/>
    <row r="658" ht="15.75" customHeight="1" s="124"/>
    <row r="659" ht="15.75" customHeight="1" s="124"/>
    <row r="660" ht="15.75" customHeight="1" s="124"/>
    <row r="661" ht="15.75" customHeight="1" s="124"/>
    <row r="662" ht="15.75" customHeight="1" s="124"/>
    <row r="663" ht="15.75" customHeight="1" s="124"/>
    <row r="664" ht="15.75" customHeight="1" s="124"/>
    <row r="665" ht="15.75" customHeight="1" s="124"/>
    <row r="666" ht="15.75" customHeight="1" s="124"/>
    <row r="667" ht="15.75" customHeight="1" s="124"/>
    <row r="668" ht="15.75" customHeight="1" s="124"/>
    <row r="669" ht="15.75" customHeight="1" s="124"/>
    <row r="670" ht="15.75" customHeight="1" s="124"/>
    <row r="671" ht="15.75" customHeight="1" s="124"/>
    <row r="672" ht="15.75" customHeight="1" s="124"/>
    <row r="673" ht="15.75" customHeight="1" s="124"/>
    <row r="674" ht="15.75" customHeight="1" s="124"/>
    <row r="675" ht="15.75" customHeight="1" s="124"/>
    <row r="676" ht="15.75" customHeight="1" s="124"/>
    <row r="677" ht="15.75" customHeight="1" s="124"/>
    <row r="678" ht="15.75" customHeight="1" s="124"/>
    <row r="679" ht="15.75" customHeight="1" s="124"/>
    <row r="680" ht="15.75" customHeight="1" s="124"/>
    <row r="681" ht="15.75" customHeight="1" s="124"/>
    <row r="682" ht="15.75" customHeight="1" s="124"/>
    <row r="683" ht="15.75" customHeight="1" s="124"/>
    <row r="684" ht="15.75" customHeight="1" s="124"/>
    <row r="685" ht="15.75" customHeight="1" s="124"/>
    <row r="686" ht="15.75" customHeight="1" s="124"/>
    <row r="687" ht="15.75" customHeight="1" s="124"/>
    <row r="688" ht="15.75" customHeight="1" s="124"/>
    <row r="689" ht="15.75" customHeight="1" s="124"/>
    <row r="690" ht="15.75" customHeight="1" s="124"/>
    <row r="691" ht="15.75" customHeight="1" s="124"/>
    <row r="692" ht="15.75" customHeight="1" s="124"/>
    <row r="693" ht="15.75" customHeight="1" s="124"/>
    <row r="694" ht="15.75" customHeight="1" s="124"/>
    <row r="695" ht="15.75" customHeight="1" s="124"/>
    <row r="696" ht="15.75" customHeight="1" s="124"/>
    <row r="697" ht="15.75" customHeight="1" s="124"/>
    <row r="698" ht="15.75" customHeight="1" s="124"/>
    <row r="699" ht="15.75" customHeight="1" s="124"/>
    <row r="700" ht="15.75" customHeight="1" s="124"/>
    <row r="701" ht="15.75" customHeight="1" s="124"/>
    <row r="702" ht="15.75" customHeight="1" s="124"/>
    <row r="703" ht="15.75" customHeight="1" s="124"/>
    <row r="704" ht="15.75" customHeight="1" s="124"/>
    <row r="705" ht="15.75" customHeight="1" s="124"/>
    <row r="706" ht="15.75" customHeight="1" s="124"/>
    <row r="707" ht="15.75" customHeight="1" s="124"/>
    <row r="708" ht="15.75" customHeight="1" s="124"/>
    <row r="709" ht="15.75" customHeight="1" s="124"/>
    <row r="710" ht="15.75" customHeight="1" s="124"/>
    <row r="711" ht="15.75" customHeight="1" s="124"/>
    <row r="712" ht="15.75" customHeight="1" s="124"/>
    <row r="713" ht="15.75" customHeight="1" s="124"/>
    <row r="714" ht="15.75" customHeight="1" s="124"/>
    <row r="715" ht="15.75" customHeight="1" s="124"/>
    <row r="716" ht="15.75" customHeight="1" s="124"/>
    <row r="717" ht="15.75" customHeight="1" s="124"/>
    <row r="718" ht="15.75" customHeight="1" s="124"/>
    <row r="719" ht="15.75" customHeight="1" s="124"/>
    <row r="720" ht="15.75" customHeight="1" s="124"/>
    <row r="721" ht="15.75" customHeight="1" s="124"/>
    <row r="722" ht="15.75" customHeight="1" s="124"/>
    <row r="723" ht="15.75" customHeight="1" s="124"/>
    <row r="724" ht="15.75" customHeight="1" s="124"/>
    <row r="725" ht="15.75" customHeight="1" s="124"/>
    <row r="726" ht="15.75" customHeight="1" s="124"/>
    <row r="727" ht="15.75" customHeight="1" s="124"/>
    <row r="728" ht="15.75" customHeight="1" s="124"/>
    <row r="729" ht="15.75" customHeight="1" s="124"/>
    <row r="730" ht="15.75" customHeight="1" s="124"/>
    <row r="731" ht="15.75" customHeight="1" s="124"/>
    <row r="732" ht="15.75" customHeight="1" s="124"/>
    <row r="733" ht="15.75" customHeight="1" s="124"/>
    <row r="734" ht="15.75" customHeight="1" s="124"/>
    <row r="735" ht="15.75" customHeight="1" s="124"/>
    <row r="736" ht="15.75" customHeight="1" s="124"/>
    <row r="737" ht="15.75" customHeight="1" s="124"/>
    <row r="738" ht="15.75" customHeight="1" s="124"/>
    <row r="739" ht="15.75" customHeight="1" s="124"/>
    <row r="740" ht="15.75" customHeight="1" s="124"/>
    <row r="741" ht="15.75" customHeight="1" s="124"/>
    <row r="742" ht="15.75" customHeight="1" s="124"/>
    <row r="743" ht="15.75" customHeight="1" s="124"/>
    <row r="744" ht="15.75" customHeight="1" s="124"/>
    <row r="745" ht="15.75" customHeight="1" s="124"/>
    <row r="746" ht="15.75" customHeight="1" s="124"/>
    <row r="747" ht="15.75" customHeight="1" s="124"/>
    <row r="748" ht="15.75" customHeight="1" s="124"/>
    <row r="749" ht="15.75" customHeight="1" s="124"/>
    <row r="750" ht="15.75" customHeight="1" s="124"/>
    <row r="751" ht="15.75" customHeight="1" s="124"/>
    <row r="752" ht="15.75" customHeight="1" s="124"/>
    <row r="753" ht="15.75" customHeight="1" s="124"/>
    <row r="754" ht="15.75" customHeight="1" s="124"/>
    <row r="755" ht="15.75" customHeight="1" s="124"/>
    <row r="756" ht="15.75" customHeight="1" s="124"/>
    <row r="757" ht="15.75" customHeight="1" s="124"/>
    <row r="758" ht="15.75" customHeight="1" s="124"/>
    <row r="759" ht="15.75" customHeight="1" s="124"/>
    <row r="760" ht="15.75" customHeight="1" s="124"/>
    <row r="761" ht="15.75" customHeight="1" s="124"/>
    <row r="762" ht="15.75" customHeight="1" s="124"/>
    <row r="763" ht="15.75" customHeight="1" s="124"/>
    <row r="764" ht="15.75" customHeight="1" s="124"/>
    <row r="765" ht="15.75" customHeight="1" s="124"/>
    <row r="766" ht="15.75" customHeight="1" s="124"/>
    <row r="767" ht="15.75" customHeight="1" s="124"/>
    <row r="768" ht="15.75" customHeight="1" s="124"/>
    <row r="769" ht="15.75" customHeight="1" s="124"/>
    <row r="770" ht="15.75" customHeight="1" s="124"/>
    <row r="771" ht="15.75" customHeight="1" s="124"/>
    <row r="772" ht="15.75" customHeight="1" s="124"/>
    <row r="773" ht="15.75" customHeight="1" s="124"/>
    <row r="774" ht="15.75" customHeight="1" s="124"/>
    <row r="775" ht="15.75" customHeight="1" s="124"/>
    <row r="776" ht="15.75" customHeight="1" s="124"/>
    <row r="777" ht="15.75" customHeight="1" s="124"/>
    <row r="778" ht="15.75" customHeight="1" s="124"/>
    <row r="779" ht="15.75" customHeight="1" s="124"/>
    <row r="780" ht="15.75" customHeight="1" s="124"/>
    <row r="781" ht="15.75" customHeight="1" s="124"/>
    <row r="782" ht="15.75" customHeight="1" s="124"/>
    <row r="783" ht="15.75" customHeight="1" s="124"/>
    <row r="784" ht="15.75" customHeight="1" s="124"/>
    <row r="785" ht="15.75" customHeight="1" s="124"/>
    <row r="786" ht="15.75" customHeight="1" s="124"/>
    <row r="787" ht="15.75" customHeight="1" s="124"/>
    <row r="788" ht="15.75" customHeight="1" s="124"/>
    <row r="789" ht="15.75" customHeight="1" s="124"/>
    <row r="790" ht="15.75" customHeight="1" s="124"/>
    <row r="791" ht="15.75" customHeight="1" s="124"/>
    <row r="792" ht="15.75" customHeight="1" s="124"/>
    <row r="793" ht="15.75" customHeight="1" s="124"/>
    <row r="794" ht="15.75" customHeight="1" s="124"/>
    <row r="795" ht="15.75" customHeight="1" s="124"/>
    <row r="796" ht="15.75" customHeight="1" s="124"/>
    <row r="797" ht="15.75" customHeight="1" s="124"/>
    <row r="798" ht="15.75" customHeight="1" s="124"/>
    <row r="799" ht="15.75" customHeight="1" s="124"/>
    <row r="800" ht="15.75" customHeight="1" s="124"/>
    <row r="801" ht="15.75" customHeight="1" s="124"/>
    <row r="802" ht="15.75" customHeight="1" s="124"/>
    <row r="803" ht="15.75" customHeight="1" s="124"/>
    <row r="804" ht="15.75" customHeight="1" s="124"/>
    <row r="805" ht="15.75" customHeight="1" s="124"/>
    <row r="806" ht="15.75" customHeight="1" s="124"/>
    <row r="807" ht="15.75" customHeight="1" s="124"/>
    <row r="808" ht="15.75" customHeight="1" s="124"/>
    <row r="809" ht="15.75" customHeight="1" s="124"/>
    <row r="810" ht="15.75" customHeight="1" s="124"/>
    <row r="811" ht="15.75" customHeight="1" s="124"/>
    <row r="812" ht="15.75" customHeight="1" s="124"/>
    <row r="813" ht="15.75" customHeight="1" s="124"/>
    <row r="814" ht="15.75" customHeight="1" s="124"/>
    <row r="815" ht="15.75" customHeight="1" s="124"/>
    <row r="816" ht="15.75" customHeight="1" s="124"/>
    <row r="817" ht="15.75" customHeight="1" s="124"/>
    <row r="818" ht="15.75" customHeight="1" s="124"/>
    <row r="819" ht="15.75" customHeight="1" s="124"/>
    <row r="820" ht="15.75" customHeight="1" s="124"/>
    <row r="821" ht="15.75" customHeight="1" s="124"/>
    <row r="822" ht="15.75" customHeight="1" s="124"/>
    <row r="823" ht="15.75" customHeight="1" s="124"/>
    <row r="824" ht="15.75" customHeight="1" s="124"/>
    <row r="825" ht="15.75" customHeight="1" s="124"/>
    <row r="826" ht="15.75" customHeight="1" s="124"/>
    <row r="827" ht="15.75" customHeight="1" s="124"/>
    <row r="828" ht="15.75" customHeight="1" s="124"/>
    <row r="829" ht="15.75" customHeight="1" s="124"/>
    <row r="830" ht="15.75" customHeight="1" s="124"/>
    <row r="831" ht="15.75" customHeight="1" s="124"/>
    <row r="832" ht="15.75" customHeight="1" s="124"/>
    <row r="833" ht="15.75" customHeight="1" s="124"/>
    <row r="834" ht="15.75" customHeight="1" s="124"/>
    <row r="835" ht="15.75" customHeight="1" s="124"/>
    <row r="836" ht="15.75" customHeight="1" s="124"/>
    <row r="837" ht="15.75" customHeight="1" s="124"/>
    <row r="838" ht="15.75" customHeight="1" s="124"/>
    <row r="839" ht="15.75" customHeight="1" s="124"/>
    <row r="840" ht="15.75" customHeight="1" s="124"/>
    <row r="841" ht="15.75" customHeight="1" s="124"/>
    <row r="842" ht="15.75" customHeight="1" s="124"/>
    <row r="843" ht="15.75" customHeight="1" s="124"/>
    <row r="844" ht="15.75" customHeight="1" s="124"/>
    <row r="845" ht="15.75" customHeight="1" s="124"/>
    <row r="846" ht="15.75" customHeight="1" s="124"/>
    <row r="847" ht="15.75" customHeight="1" s="124"/>
    <row r="848" ht="15.75" customHeight="1" s="124"/>
    <row r="849" ht="15.75" customHeight="1" s="124"/>
    <row r="850" ht="15.75" customHeight="1" s="124"/>
    <row r="851" ht="15.75" customHeight="1" s="124"/>
    <row r="852" ht="15.75" customHeight="1" s="124"/>
    <row r="853" ht="15.75" customHeight="1" s="124"/>
    <row r="854" ht="15.75" customHeight="1" s="124"/>
    <row r="855" ht="15.75" customHeight="1" s="124"/>
    <row r="856" ht="15.75" customHeight="1" s="124"/>
    <row r="857" ht="15.75" customHeight="1" s="124"/>
    <row r="858" ht="15.75" customHeight="1" s="124"/>
    <row r="859" ht="15.75" customHeight="1" s="124"/>
    <row r="860" ht="15.75" customHeight="1" s="124"/>
    <row r="861" ht="15.75" customHeight="1" s="124"/>
    <row r="862" ht="15.75" customHeight="1" s="124"/>
    <row r="863" ht="15.75" customHeight="1" s="124"/>
    <row r="864" ht="15.75" customHeight="1" s="124"/>
    <row r="865" ht="15.75" customHeight="1" s="124"/>
    <row r="866" ht="15.75" customHeight="1" s="124"/>
    <row r="867" ht="15.75" customHeight="1" s="124"/>
    <row r="868" ht="15.75" customHeight="1" s="124"/>
    <row r="869" ht="15.75" customHeight="1" s="124"/>
    <row r="870" ht="15.75" customHeight="1" s="124"/>
    <row r="871" ht="15.75" customHeight="1" s="124"/>
    <row r="872" ht="15.75" customHeight="1" s="124"/>
    <row r="873" ht="15.75" customHeight="1" s="124"/>
    <row r="874" ht="15.75" customHeight="1" s="124"/>
    <row r="875" ht="15.75" customHeight="1" s="124"/>
    <row r="876" ht="15.75" customHeight="1" s="124"/>
    <row r="877" ht="15.75" customHeight="1" s="124"/>
    <row r="878" ht="15.75" customHeight="1" s="124"/>
    <row r="879" ht="15.75" customHeight="1" s="124"/>
    <row r="880" ht="15.75" customHeight="1" s="124"/>
    <row r="881" ht="15.75" customHeight="1" s="124"/>
    <row r="882" ht="15.75" customHeight="1" s="124"/>
    <row r="883" ht="15.75" customHeight="1" s="124"/>
    <row r="884" ht="15.75" customHeight="1" s="124"/>
    <row r="885" ht="15.75" customHeight="1" s="124"/>
    <row r="886" ht="15.75" customHeight="1" s="124"/>
    <row r="887" ht="15.75" customHeight="1" s="124"/>
    <row r="888" ht="15.75" customHeight="1" s="124"/>
    <row r="889" ht="15.75" customHeight="1" s="124"/>
    <row r="890" ht="15.75" customHeight="1" s="124"/>
    <row r="891" ht="15.75" customHeight="1" s="124"/>
    <row r="892" ht="15.75" customHeight="1" s="124"/>
    <row r="893" ht="15.75" customHeight="1" s="124"/>
    <row r="894" ht="15.75" customHeight="1" s="124"/>
    <row r="895" ht="15.75" customHeight="1" s="124"/>
    <row r="896" ht="15.75" customHeight="1" s="124"/>
    <row r="897" ht="15.75" customHeight="1" s="124"/>
    <row r="898" ht="15.75" customHeight="1" s="124"/>
    <row r="899" ht="15.75" customHeight="1" s="124"/>
    <row r="900" ht="15.75" customHeight="1" s="124"/>
    <row r="901" ht="15.75" customHeight="1" s="124"/>
    <row r="902" ht="15.75" customHeight="1" s="124"/>
    <row r="903" ht="15.75" customHeight="1" s="124"/>
    <row r="904" ht="15.75" customHeight="1" s="124"/>
    <row r="905" ht="15.75" customHeight="1" s="124"/>
    <row r="906" ht="15.75" customHeight="1" s="124"/>
    <row r="907" ht="15.75" customHeight="1" s="124"/>
    <row r="908" ht="15.75" customHeight="1" s="124"/>
    <row r="909" ht="15.75" customHeight="1" s="124"/>
    <row r="910" ht="15.75" customHeight="1" s="124"/>
    <row r="911" ht="15.75" customHeight="1" s="124"/>
    <row r="912" ht="15.75" customHeight="1" s="124"/>
    <row r="913" ht="15.75" customHeight="1" s="124"/>
    <row r="914" ht="15.75" customHeight="1" s="124"/>
    <row r="915" ht="15.75" customHeight="1" s="124"/>
    <row r="916" ht="15.75" customHeight="1" s="124"/>
    <row r="917" ht="15.75" customHeight="1" s="124"/>
    <row r="918" ht="15.75" customHeight="1" s="124"/>
    <row r="919" ht="15.75" customHeight="1" s="124"/>
    <row r="920" ht="15.75" customHeight="1" s="124"/>
    <row r="921" ht="15.75" customHeight="1" s="124"/>
    <row r="922" ht="15.75" customHeight="1" s="124"/>
    <row r="923" ht="15.75" customHeight="1" s="124"/>
    <row r="924" ht="15.75" customHeight="1" s="124"/>
    <row r="925" ht="15.75" customHeight="1" s="124"/>
    <row r="926" ht="15.75" customHeight="1" s="124"/>
    <row r="927" ht="15.75" customHeight="1" s="124"/>
    <row r="928" ht="15.75" customHeight="1" s="124"/>
    <row r="929" ht="15.75" customHeight="1" s="124"/>
    <row r="930" ht="15.75" customHeight="1" s="124"/>
    <row r="931" ht="15.75" customHeight="1" s="124"/>
    <row r="932" ht="15.75" customHeight="1" s="124"/>
    <row r="933" ht="15.75" customHeight="1" s="124"/>
    <row r="934" ht="15.75" customHeight="1" s="124"/>
    <row r="935" ht="15.75" customHeight="1" s="124"/>
    <row r="936" ht="15.75" customHeight="1" s="124"/>
    <row r="937" ht="15.75" customHeight="1" s="124"/>
    <row r="938" ht="15.75" customHeight="1" s="124"/>
    <row r="939" ht="15.75" customHeight="1" s="124"/>
    <row r="940" ht="15.75" customHeight="1" s="124"/>
    <row r="941" ht="15.75" customHeight="1" s="124"/>
    <row r="942" ht="15.75" customHeight="1" s="124"/>
    <row r="943" ht="15.75" customHeight="1" s="124"/>
    <row r="944" ht="15.75" customHeight="1" s="124"/>
    <row r="945" ht="15.75" customHeight="1" s="124"/>
    <row r="946" ht="15.75" customHeight="1" s="124"/>
    <row r="947" ht="15.75" customHeight="1" s="124"/>
    <row r="948" ht="15.75" customHeight="1" s="124"/>
    <row r="949" ht="15.75" customHeight="1" s="124"/>
    <row r="950" ht="15.75" customHeight="1" s="124"/>
    <row r="951" ht="15.75" customHeight="1" s="124"/>
    <row r="952" ht="15.75" customHeight="1" s="124"/>
    <row r="953" ht="15.75" customHeight="1" s="124"/>
    <row r="954" ht="15.75" customHeight="1" s="124"/>
    <row r="955" ht="15.75" customHeight="1" s="124"/>
    <row r="956" ht="15.75" customHeight="1" s="124"/>
    <row r="957" ht="15.75" customHeight="1" s="124"/>
    <row r="958" ht="15.75" customHeight="1" s="124"/>
    <row r="959" ht="15.75" customHeight="1" s="124"/>
    <row r="960" ht="15.75" customHeight="1" s="124"/>
    <row r="961" ht="15.75" customHeight="1" s="124"/>
    <row r="962" ht="15.75" customHeight="1" s="124"/>
    <row r="963" ht="15.75" customHeight="1" s="124"/>
    <row r="964" ht="15.75" customHeight="1" s="124"/>
    <row r="965" ht="15.75" customHeight="1" s="124"/>
    <row r="966" ht="15.75" customHeight="1" s="124"/>
    <row r="967" ht="15.75" customHeight="1" s="124"/>
    <row r="968" ht="15.75" customHeight="1" s="124"/>
    <row r="969" ht="15.75" customHeight="1" s="124"/>
    <row r="970" ht="15.75" customHeight="1" s="124"/>
    <row r="971" ht="15.75" customHeight="1" s="124"/>
    <row r="972" ht="15.75" customHeight="1" s="124"/>
    <row r="973" ht="15.75" customHeight="1" s="124"/>
    <row r="974" ht="15.75" customHeight="1" s="124"/>
    <row r="975" ht="15.75" customHeight="1" s="124"/>
    <row r="976" ht="15.75" customHeight="1" s="124"/>
    <row r="977" ht="15.75" customHeight="1" s="124"/>
    <row r="978" ht="15.75" customHeight="1" s="124"/>
    <row r="979" ht="15.75" customHeight="1" s="124"/>
    <row r="980" ht="15.75" customHeight="1" s="124"/>
    <row r="981" ht="15.75" customHeight="1" s="124"/>
    <row r="982" ht="15.75" customHeight="1" s="124"/>
    <row r="983" ht="15.75" customHeight="1" s="124"/>
    <row r="984" ht="15.75" customHeight="1" s="124"/>
    <row r="985" ht="15.75" customHeight="1" s="124"/>
    <row r="986" ht="15.75" customHeight="1" s="124"/>
    <row r="987" ht="15.75" customHeight="1" s="124"/>
    <row r="988" ht="15.75" customHeight="1" s="124"/>
    <row r="989" ht="15.75" customHeight="1" s="124"/>
    <row r="990" ht="15.75" customHeight="1" s="124"/>
    <row r="991" ht="15.75" customHeight="1" s="124"/>
    <row r="992" ht="15.75" customHeight="1" s="124"/>
    <row r="993" ht="15.75" customHeight="1" s="124"/>
    <row r="994" ht="15.75" customHeight="1" s="124"/>
    <row r="995" ht="15.75" customHeight="1" s="124"/>
    <row r="996" ht="15.75" customHeight="1" s="124"/>
    <row r="997" ht="15.75" customHeight="1" s="124"/>
    <row r="998" ht="15.75" customHeight="1" s="124"/>
    <row r="999" ht="15.75" customHeight="1" s="124"/>
    <row r="1000" ht="15.75" customHeight="1" s="124"/>
  </sheetData>
  <mergeCells count="279">
    <mergeCell ref="B62:B72"/>
    <mergeCell ref="D11:F11"/>
    <mergeCell ref="P27:R27"/>
    <mergeCell ref="V42:W42"/>
    <mergeCell ref="S37:U37"/>
    <mergeCell ref="U110:W111"/>
    <mergeCell ref="E124:Q133"/>
    <mergeCell ref="E162:Q162"/>
    <mergeCell ref="P17:R17"/>
    <mergeCell ref="H17:J17"/>
    <mergeCell ref="H11:J11"/>
    <mergeCell ref="R151:T161"/>
    <mergeCell ref="C95:D96"/>
    <mergeCell ref="C51:D52"/>
    <mergeCell ref="E32:Q32"/>
    <mergeCell ref="C153:D154"/>
    <mergeCell ref="L25:N25"/>
    <mergeCell ref="D28:F28"/>
    <mergeCell ref="E112:Q112"/>
    <mergeCell ref="V34:W34"/>
    <mergeCell ref="P19:R19"/>
    <mergeCell ref="H22:J22"/>
    <mergeCell ref="B162:B172"/>
    <mergeCell ref="H19:J19"/>
    <mergeCell ref="P28:R28"/>
    <mergeCell ref="E52:Q61"/>
    <mergeCell ref="L9:N9"/>
    <mergeCell ref="D12:F12"/>
    <mergeCell ref="T22:V22"/>
    <mergeCell ref="B112:B122"/>
    <mergeCell ref="D9:F9"/>
    <mergeCell ref="C155:D156"/>
    <mergeCell ref="P12:R12"/>
    <mergeCell ref="R149:T150"/>
    <mergeCell ref="P48:Q48"/>
    <mergeCell ref="C77:D78"/>
    <mergeCell ref="T28:V28"/>
    <mergeCell ref="L11:N11"/>
    <mergeCell ref="D14:F14"/>
    <mergeCell ref="D23:F23"/>
    <mergeCell ref="S41:U41"/>
    <mergeCell ref="P14:R14"/>
    <mergeCell ref="E73:Q73"/>
    <mergeCell ref="C49:D50"/>
    <mergeCell ref="E51:Q51"/>
    <mergeCell ref="B123:B133"/>
    <mergeCell ref="B40:C40"/>
    <mergeCell ref="C73:D74"/>
    <mergeCell ref="T20:V20"/>
    <mergeCell ref="C90:D94"/>
    <mergeCell ref="T14:V14"/>
    <mergeCell ref="M47:N47"/>
    <mergeCell ref="L13:N13"/>
    <mergeCell ref="S42:U42"/>
    <mergeCell ref="E34:Q34"/>
    <mergeCell ref="B32:C32"/>
    <mergeCell ref="C75:D76"/>
    <mergeCell ref="C84:D85"/>
    <mergeCell ref="C127:D128"/>
    <mergeCell ref="T10:V10"/>
    <mergeCell ref="H21:J21"/>
    <mergeCell ref="E85:Q94"/>
    <mergeCell ref="O108:W108"/>
    <mergeCell ref="L15:N15"/>
    <mergeCell ref="E36:Q36"/>
    <mergeCell ref="C99:D100"/>
    <mergeCell ref="L24:N24"/>
    <mergeCell ref="D27:F27"/>
    <mergeCell ref="C55:D56"/>
    <mergeCell ref="L18:N18"/>
    <mergeCell ref="O147:W147"/>
    <mergeCell ref="V33:W33"/>
    <mergeCell ref="R123:T133"/>
    <mergeCell ref="D17:F17"/>
    <mergeCell ref="T26:V26"/>
    <mergeCell ref="L26:N26"/>
    <mergeCell ref="D47:L47"/>
    <mergeCell ref="P16:R16"/>
    <mergeCell ref="V35:W35"/>
    <mergeCell ref="H16:J16"/>
    <mergeCell ref="C68:D72"/>
    <mergeCell ref="C157:D161"/>
    <mergeCell ref="L10:N10"/>
    <mergeCell ref="R3:T3"/>
    <mergeCell ref="B151:B161"/>
    <mergeCell ref="E37:Q37"/>
    <mergeCell ref="C125:D126"/>
    <mergeCell ref="E96:Q105"/>
    <mergeCell ref="K109:O109"/>
    <mergeCell ref="R84:T94"/>
    <mergeCell ref="H27:J27"/>
    <mergeCell ref="P18:R18"/>
    <mergeCell ref="T17:V17"/>
    <mergeCell ref="C53:D54"/>
    <mergeCell ref="U149:W150"/>
    <mergeCell ref="C62:D63"/>
    <mergeCell ref="D25:F25"/>
    <mergeCell ref="V39:W39"/>
    <mergeCell ref="E62:Q62"/>
    <mergeCell ref="E149:Q150"/>
    <mergeCell ref="T19:V19"/>
    <mergeCell ref="R95:T105"/>
    <mergeCell ref="C64:D65"/>
    <mergeCell ref="S32:U32"/>
    <mergeCell ref="C129:D133"/>
    <mergeCell ref="P20:R20"/>
    <mergeCell ref="R148:W148"/>
    <mergeCell ref="H20:J20"/>
    <mergeCell ref="I148:J148"/>
    <mergeCell ref="R134:T144"/>
    <mergeCell ref="R112:T122"/>
    <mergeCell ref="R110:T111"/>
    <mergeCell ref="B51:B61"/>
    <mergeCell ref="E40:Q40"/>
    <mergeCell ref="L28:N28"/>
    <mergeCell ref="E74:Q83"/>
    <mergeCell ref="R62:T72"/>
    <mergeCell ref="P22:R22"/>
    <mergeCell ref="U123:W133"/>
    <mergeCell ref="V37:W37"/>
    <mergeCell ref="C88:D89"/>
    <mergeCell ref="L12:N12"/>
    <mergeCell ref="D21:F21"/>
    <mergeCell ref="C57:D61"/>
    <mergeCell ref="C140:D144"/>
    <mergeCell ref="B12:C17"/>
    <mergeCell ref="P21:R21"/>
    <mergeCell ref="D109:H109"/>
    <mergeCell ref="L14:N14"/>
    <mergeCell ref="L23:N23"/>
    <mergeCell ref="U84:W94"/>
    <mergeCell ref="V38:W38"/>
    <mergeCell ref="T12:V12"/>
    <mergeCell ref="P23:R23"/>
    <mergeCell ref="B24:C25"/>
    <mergeCell ref="T21:V21"/>
    <mergeCell ref="C110:D111"/>
    <mergeCell ref="C66:D67"/>
    <mergeCell ref="C101:D105"/>
    <mergeCell ref="S34:U34"/>
    <mergeCell ref="D16:F16"/>
    <mergeCell ref="U73:W83"/>
    <mergeCell ref="R109:W109"/>
    <mergeCell ref="U95:W105"/>
    <mergeCell ref="U151:W161"/>
    <mergeCell ref="T23:V23"/>
    <mergeCell ref="H13:J13"/>
    <mergeCell ref="D18:F18"/>
    <mergeCell ref="R162:T172"/>
    <mergeCell ref="S36:U36"/>
    <mergeCell ref="O47:W47"/>
    <mergeCell ref="E135:Q144"/>
    <mergeCell ref="T13:V13"/>
    <mergeCell ref="B148:C148"/>
    <mergeCell ref="T16:V16"/>
    <mergeCell ref="C136:D137"/>
    <mergeCell ref="H15:J15"/>
    <mergeCell ref="H24:J24"/>
    <mergeCell ref="B49:B50"/>
    <mergeCell ref="E123:Q123"/>
    <mergeCell ref="U134:W144"/>
    <mergeCell ref="H18:J18"/>
    <mergeCell ref="E63:Q72"/>
    <mergeCell ref="T27:V27"/>
    <mergeCell ref="C151:D152"/>
    <mergeCell ref="R49:T50"/>
    <mergeCell ref="B9:C11"/>
    <mergeCell ref="L27:N27"/>
    <mergeCell ref="C168:D172"/>
    <mergeCell ref="T18:V18"/>
    <mergeCell ref="B95:B105"/>
    <mergeCell ref="E110:Q111"/>
    <mergeCell ref="V36:W36"/>
    <mergeCell ref="B108:C108"/>
    <mergeCell ref="H26:J26"/>
    <mergeCell ref="U162:W172"/>
    <mergeCell ref="L17:N17"/>
    <mergeCell ref="D20:F20"/>
    <mergeCell ref="E38:Q38"/>
    <mergeCell ref="P148:Q148"/>
    <mergeCell ref="U112:W122"/>
    <mergeCell ref="C162:D163"/>
    <mergeCell ref="K48:O48"/>
    <mergeCell ref="H10:J10"/>
    <mergeCell ref="P25:R25"/>
    <mergeCell ref="E84:Q84"/>
    <mergeCell ref="C112:D113"/>
    <mergeCell ref="L19:N19"/>
    <mergeCell ref="B134:B144"/>
    <mergeCell ref="C134:D135"/>
    <mergeCell ref="D22:F22"/>
    <mergeCell ref="P9:R9"/>
    <mergeCell ref="B110:B111"/>
    <mergeCell ref="M147:N147"/>
    <mergeCell ref="H9:J9"/>
    <mergeCell ref="P5:Q5"/>
    <mergeCell ref="B18:C23"/>
    <mergeCell ref="D148:H148"/>
    <mergeCell ref="E113:Q122"/>
    <mergeCell ref="T25:V25"/>
    <mergeCell ref="C114:D115"/>
    <mergeCell ref="E95:Q95"/>
    <mergeCell ref="B109:C109"/>
    <mergeCell ref="C123:D124"/>
    <mergeCell ref="S38:U38"/>
    <mergeCell ref="B47:C47"/>
    <mergeCell ref="B149:B150"/>
    <mergeCell ref="P11:R11"/>
    <mergeCell ref="D13:F13"/>
    <mergeCell ref="T9:V9"/>
    <mergeCell ref="E163:Q172"/>
    <mergeCell ref="J2:O3"/>
    <mergeCell ref="C164:D165"/>
    <mergeCell ref="C138:D139"/>
    <mergeCell ref="U51:W61"/>
    <mergeCell ref="P109:Q109"/>
    <mergeCell ref="B73:B83"/>
    <mergeCell ref="S40:U40"/>
    <mergeCell ref="R73:T83"/>
    <mergeCell ref="L20:N20"/>
    <mergeCell ref="E41:Q41"/>
    <mergeCell ref="T11:V11"/>
    <mergeCell ref="E134:Q134"/>
    <mergeCell ref="D147:L147"/>
    <mergeCell ref="B48:C48"/>
    <mergeCell ref="C149:D150"/>
    <mergeCell ref="S33:U33"/>
    <mergeCell ref="H28:J28"/>
    <mergeCell ref="U49:W50"/>
    <mergeCell ref="L22:N22"/>
    <mergeCell ref="P13:R13"/>
    <mergeCell ref="M108:N108"/>
    <mergeCell ref="H12:J12"/>
    <mergeCell ref="C86:D87"/>
    <mergeCell ref="C79:D83"/>
    <mergeCell ref="V40:W40"/>
    <mergeCell ref="S35:U35"/>
    <mergeCell ref="D15:F15"/>
    <mergeCell ref="E33:Q33"/>
    <mergeCell ref="D48:H48"/>
    <mergeCell ref="L21:N21"/>
    <mergeCell ref="B84:B94"/>
    <mergeCell ref="D24:F24"/>
    <mergeCell ref="E42:Q42"/>
    <mergeCell ref="E151:Q151"/>
    <mergeCell ref="P15:R15"/>
    <mergeCell ref="B147:C147"/>
    <mergeCell ref="C118:D122"/>
    <mergeCell ref="E49:Q50"/>
    <mergeCell ref="U3:V3"/>
    <mergeCell ref="H14:J14"/>
    <mergeCell ref="P24:R24"/>
    <mergeCell ref="H23:J23"/>
    <mergeCell ref="C116:D117"/>
    <mergeCell ref="R5:W5"/>
    <mergeCell ref="D26:F26"/>
    <mergeCell ref="V32:W32"/>
    <mergeCell ref="R48:W48"/>
    <mergeCell ref="R51:T61"/>
    <mergeCell ref="E152:Q161"/>
    <mergeCell ref="V41:W41"/>
    <mergeCell ref="T15:V15"/>
    <mergeCell ref="P26:R26"/>
    <mergeCell ref="I48:J48"/>
    <mergeCell ref="C166:D167"/>
    <mergeCell ref="T24:V24"/>
    <mergeCell ref="D10:F10"/>
    <mergeCell ref="K148:O148"/>
    <mergeCell ref="L16:N16"/>
    <mergeCell ref="U62:W72"/>
    <mergeCell ref="D19:F19"/>
    <mergeCell ref="P10:R10"/>
    <mergeCell ref="I109:J109"/>
    <mergeCell ref="C97:D98"/>
    <mergeCell ref="B36:C36"/>
    <mergeCell ref="S39:U39"/>
    <mergeCell ref="H25:J25"/>
    <mergeCell ref="B26:C28"/>
    <mergeCell ref="D108:L108"/>
  </mergeCells>
  <pageMargins left="0.25" right="0.25" top="0.75" bottom="0.75" header="0" footer="0"/>
  <pageSetup orientation="portrait" paperSize="9"/>
  <rowBreaks count="4" manualBreakCount="4">
    <brk id="145" min="0" max="16383" man="1"/>
    <brk id="106" min="0" max="16383" man="1"/>
    <brk id="43" min="0" max="16383" man="1"/>
    <brk id="173" min="0" max="16383" man="1"/>
  </rowBreaks>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14.43" defaultRowHeight="15" customHeight="1"/>
  <cols>
    <col width="24.14" customWidth="1" style="124" min="1" max="1"/>
    <col width="10.43" customWidth="1" style="124" min="2" max="2"/>
    <col width="14.43" customWidth="1" style="124" min="3" max="3"/>
    <col width="10.43" customWidth="1" style="124" min="4" max="4"/>
    <col width="8.710000000000001" customWidth="1" style="124" min="5" max="6"/>
  </cols>
  <sheetData>
    <row r="1" ht="18" customHeight="1" s="124">
      <c r="A1" s="28" t="inlineStr">
        <is>
          <t>在留資格</t>
        </is>
      </c>
      <c r="B1" s="28" t="inlineStr">
        <is>
          <t>在学状況</t>
        </is>
      </c>
      <c r="C1" s="28" t="inlineStr">
        <is>
          <t>雇用形態</t>
        </is>
      </c>
      <c r="D1" s="28" t="inlineStr">
        <is>
          <t>パスポート</t>
        </is>
      </c>
    </row>
    <row r="2" ht="18" customHeight="1" s="124">
      <c r="A2" s="28" t="inlineStr">
        <is>
          <t>無</t>
        </is>
      </c>
      <c r="B2" s="28" t="inlineStr">
        <is>
          <t>卒業</t>
        </is>
      </c>
      <c r="C2" s="28" t="inlineStr">
        <is>
          <t>正社員</t>
        </is>
      </c>
      <c r="D2" s="28" t="inlineStr">
        <is>
          <t>有</t>
        </is>
      </c>
    </row>
    <row r="3" ht="18" customHeight="1" s="124">
      <c r="A3" s="28" t="inlineStr">
        <is>
          <t>技術・人文知識・国際業務</t>
        </is>
      </c>
      <c r="B3" s="28" t="inlineStr">
        <is>
          <t>卒業見込み</t>
        </is>
      </c>
      <c r="C3" s="28" t="inlineStr">
        <is>
          <t>契約社員</t>
        </is>
      </c>
      <c r="D3" s="28" t="inlineStr">
        <is>
          <t>無</t>
        </is>
      </c>
    </row>
    <row r="4" ht="18" customHeight="1" s="124">
      <c r="A4" s="28" t="inlineStr">
        <is>
          <t>企業内転勤</t>
        </is>
      </c>
      <c r="B4" s="28" t="inlineStr">
        <is>
          <t>退学</t>
        </is>
      </c>
      <c r="C4" s="28" t="inlineStr">
        <is>
          <t>インターンシップ</t>
        </is>
      </c>
    </row>
    <row r="5" ht="18" customHeight="1" s="124">
      <c r="A5" s="28" t="inlineStr">
        <is>
          <t>留学</t>
        </is>
      </c>
      <c r="B5" s="28" t="inlineStr">
        <is>
          <t>休学</t>
        </is>
      </c>
      <c r="C5" s="28" t="inlineStr">
        <is>
          <t>アルバイト</t>
        </is>
      </c>
    </row>
    <row r="6" ht="18" customHeight="1" s="124">
      <c r="A6" s="28" t="inlineStr">
        <is>
          <t>研修</t>
        </is>
      </c>
      <c r="B6" s="28" t="inlineStr">
        <is>
          <t>その他</t>
        </is>
      </c>
      <c r="C6" s="28" t="inlineStr">
        <is>
          <t>その他</t>
        </is>
      </c>
    </row>
    <row r="7" ht="18" customHeight="1" s="124">
      <c r="A7" s="28" t="inlineStr">
        <is>
          <t>家族滞在</t>
        </is>
      </c>
    </row>
    <row r="8" ht="18" customHeight="1" s="124">
      <c r="A8" s="28" t="inlineStr">
        <is>
          <t>永住者</t>
        </is>
      </c>
    </row>
    <row r="9" ht="18" customHeight="1" s="124">
      <c r="A9" s="28" t="inlineStr">
        <is>
          <t>日本人の配偶者等</t>
        </is>
      </c>
    </row>
    <row r="10" ht="18" customHeight="1" s="124">
      <c r="A10" s="28" t="inlineStr">
        <is>
          <t>永住者の配偶者等</t>
        </is>
      </c>
    </row>
    <row r="11" ht="18" customHeight="1" s="124">
      <c r="A11" s="28" t="inlineStr">
        <is>
          <t>定住者</t>
        </is>
      </c>
    </row>
    <row r="12" ht="18" customHeight="1" s="124"/>
    <row r="13" ht="18" customHeight="1" s="124"/>
    <row r="14" ht="18" customHeight="1" s="124"/>
    <row r="15" ht="18" customHeight="1" s="124"/>
    <row r="16" ht="18" customHeight="1" s="124"/>
    <row r="17" ht="18" customHeight="1" s="124"/>
    <row r="18" ht="18" customHeight="1" s="124"/>
    <row r="19" ht="18" customHeight="1" s="124"/>
    <row r="20" ht="18" customHeight="1" s="124"/>
    <row r="21" ht="18" customHeight="1" s="124"/>
    <row r="22" ht="18" customHeight="1" s="124"/>
    <row r="23" ht="18" customHeight="1" s="124"/>
    <row r="24" ht="18" customHeight="1" s="124"/>
    <row r="25" ht="18" customHeight="1" s="124"/>
    <row r="26" ht="18" customHeight="1" s="124"/>
    <row r="27" ht="18" customHeight="1" s="124"/>
    <row r="28" ht="18" customHeight="1" s="124"/>
    <row r="29" ht="18" customHeight="1" s="124"/>
    <row r="30" ht="18" customHeight="1" s="124"/>
    <row r="31" ht="18" customHeight="1" s="124"/>
    <row r="32" ht="18" customHeight="1" s="124"/>
    <row r="33" ht="18" customHeight="1" s="124"/>
    <row r="34" ht="18" customHeight="1" s="124"/>
    <row r="35" ht="18" customHeight="1" s="124"/>
    <row r="36" ht="18" customHeight="1" s="124"/>
    <row r="37" ht="18" customHeight="1" s="124"/>
    <row r="38" ht="18" customHeight="1" s="124"/>
    <row r="39" ht="18" customHeight="1" s="124"/>
    <row r="40" ht="18" customHeight="1" s="124"/>
    <row r="41" ht="18" customHeight="1" s="124"/>
    <row r="42" ht="18" customHeight="1" s="124"/>
    <row r="43" ht="18" customHeight="1" s="124"/>
    <row r="44" ht="18" customHeight="1" s="124"/>
    <row r="45" ht="18" customHeight="1" s="124"/>
    <row r="46" ht="18" customHeight="1" s="124"/>
    <row r="47" ht="18" customHeight="1" s="124"/>
    <row r="48" ht="18" customHeight="1" s="124"/>
    <row r="49" ht="18" customHeight="1" s="124"/>
    <row r="50" ht="18" customHeight="1" s="124"/>
    <row r="51" ht="18" customHeight="1" s="124"/>
    <row r="52" ht="18" customHeight="1" s="124"/>
    <row r="53" ht="18" customHeight="1" s="124"/>
    <row r="54" ht="18" customHeight="1" s="124"/>
    <row r="55" ht="18" customHeight="1" s="124"/>
    <row r="56" ht="18" customHeight="1" s="124"/>
    <row r="57" ht="18" customHeight="1" s="124"/>
    <row r="58" ht="18" customHeight="1" s="124"/>
    <row r="59" ht="18" customHeight="1" s="124"/>
    <row r="60" ht="18" customHeight="1" s="124"/>
    <row r="61" ht="18" customHeight="1" s="124"/>
    <row r="62" ht="18" customHeight="1" s="124"/>
    <row r="63" ht="18" customHeight="1" s="124"/>
    <row r="64" ht="18" customHeight="1" s="124"/>
    <row r="65" ht="18" customHeight="1" s="124"/>
    <row r="66" ht="18" customHeight="1" s="124"/>
    <row r="67" ht="18" customHeight="1" s="124"/>
    <row r="68" ht="18" customHeight="1" s="124"/>
    <row r="69" ht="18" customHeight="1" s="124"/>
    <row r="70" ht="18" customHeight="1" s="124"/>
    <row r="71" ht="18" customHeight="1" s="124"/>
    <row r="72" ht="18" customHeight="1" s="124"/>
    <row r="73" ht="18" customHeight="1" s="124"/>
    <row r="74" ht="18" customHeight="1" s="124"/>
    <row r="75" ht="18" customHeight="1" s="124"/>
    <row r="76" ht="18" customHeight="1" s="124"/>
    <row r="77" ht="18" customHeight="1" s="124"/>
    <row r="78" ht="18" customHeight="1" s="124"/>
    <row r="79" ht="18" customHeight="1" s="124"/>
    <row r="80" ht="18" customHeight="1" s="124"/>
    <row r="81" ht="18" customHeight="1" s="124"/>
    <row r="82" ht="18" customHeight="1" s="124"/>
    <row r="83" ht="18" customHeight="1" s="124"/>
    <row r="84" ht="18" customHeight="1" s="124"/>
    <row r="85" ht="18" customHeight="1" s="124"/>
    <row r="86" ht="18" customHeight="1" s="124"/>
    <row r="87" ht="18" customHeight="1" s="124"/>
    <row r="88" ht="18" customHeight="1" s="124"/>
    <row r="89" ht="18" customHeight="1" s="124"/>
    <row r="90" ht="18" customHeight="1" s="124"/>
    <row r="91" ht="18" customHeight="1" s="124"/>
    <row r="92" ht="18" customHeight="1" s="124"/>
    <row r="93" ht="18" customHeight="1" s="124"/>
    <row r="94" ht="18" customHeight="1" s="124"/>
    <row r="95" ht="18" customHeight="1" s="124"/>
    <row r="96" ht="18" customHeight="1" s="124"/>
    <row r="97" ht="18" customHeight="1" s="124"/>
    <row r="98" ht="18" customHeight="1" s="124"/>
    <row r="99" ht="18" customHeight="1" s="124"/>
    <row r="100" ht="18" customHeight="1" s="124"/>
    <row r="101" ht="18" customHeight="1" s="124"/>
    <row r="102" ht="18" customHeight="1" s="124"/>
    <row r="103" ht="18" customHeight="1" s="124"/>
    <row r="104" ht="18" customHeight="1" s="124"/>
    <row r="105" ht="18" customHeight="1" s="124"/>
    <row r="106" ht="18" customHeight="1" s="124"/>
    <row r="107" ht="18" customHeight="1" s="124"/>
    <row r="108" ht="18" customHeight="1" s="124"/>
    <row r="109" ht="18" customHeight="1" s="124"/>
    <row r="110" ht="18" customHeight="1" s="124"/>
    <row r="111" ht="18" customHeight="1" s="124"/>
    <row r="112" ht="18" customHeight="1" s="124"/>
    <row r="113" ht="18" customHeight="1" s="124"/>
    <row r="114" ht="18" customHeight="1" s="124"/>
    <row r="115" ht="18" customHeight="1" s="124"/>
    <row r="116" ht="18" customHeight="1" s="124"/>
    <row r="117" ht="18" customHeight="1" s="124"/>
    <row r="118" ht="18" customHeight="1" s="124"/>
    <row r="119" ht="18" customHeight="1" s="124"/>
    <row r="120" ht="18" customHeight="1" s="124"/>
    <row r="121" ht="18" customHeight="1" s="124"/>
    <row r="122" ht="18" customHeight="1" s="124"/>
    <row r="123" ht="18" customHeight="1" s="124"/>
    <row r="124" ht="18" customHeight="1" s="124"/>
    <row r="125" ht="18" customHeight="1" s="124"/>
    <row r="126" ht="18" customHeight="1" s="124"/>
    <row r="127" ht="18" customHeight="1" s="124"/>
    <row r="128" ht="18" customHeight="1" s="124"/>
    <row r="129" ht="18" customHeight="1" s="124"/>
    <row r="130" ht="18" customHeight="1" s="124"/>
    <row r="131" ht="18" customHeight="1" s="124"/>
    <row r="132" ht="18" customHeight="1" s="124"/>
    <row r="133" ht="18" customHeight="1" s="124"/>
    <row r="134" ht="18" customHeight="1" s="124"/>
    <row r="135" ht="18" customHeight="1" s="124"/>
    <row r="136" ht="18" customHeight="1" s="124"/>
    <row r="137" ht="18" customHeight="1" s="124"/>
    <row r="138" ht="18" customHeight="1" s="124"/>
    <row r="139" ht="18" customHeight="1" s="124"/>
    <row r="140" ht="18" customHeight="1" s="124"/>
    <row r="141" ht="18" customHeight="1" s="124"/>
    <row r="142" ht="18" customHeight="1" s="124"/>
    <row r="143" ht="18" customHeight="1" s="124"/>
    <row r="144" ht="18" customHeight="1" s="124"/>
    <row r="145" ht="18" customHeight="1" s="124"/>
    <row r="146" ht="18" customHeight="1" s="124"/>
    <row r="147" ht="18" customHeight="1" s="124"/>
    <row r="148" ht="18" customHeight="1" s="124"/>
    <row r="149" ht="18" customHeight="1" s="124"/>
    <row r="150" ht="18" customHeight="1" s="124"/>
    <row r="151" ht="18" customHeight="1" s="124"/>
    <row r="152" ht="18" customHeight="1" s="124"/>
    <row r="153" ht="18" customHeight="1" s="124"/>
    <row r="154" ht="18" customHeight="1" s="124"/>
    <row r="155" ht="18" customHeight="1" s="124"/>
    <row r="156" ht="18" customHeight="1" s="124"/>
    <row r="157" ht="18" customHeight="1" s="124"/>
    <row r="158" ht="18" customHeight="1" s="124"/>
    <row r="159" ht="18" customHeight="1" s="124"/>
    <row r="160" ht="18" customHeight="1" s="124"/>
    <row r="161" ht="18" customHeight="1" s="124"/>
    <row r="162" ht="18" customHeight="1" s="124"/>
    <row r="163" ht="18" customHeight="1" s="124"/>
    <row r="164" ht="18" customHeight="1" s="124"/>
    <row r="165" ht="18" customHeight="1" s="124"/>
    <row r="166" ht="18" customHeight="1" s="124"/>
    <row r="167" ht="18" customHeight="1" s="124"/>
    <row r="168" ht="18" customHeight="1" s="124"/>
    <row r="169" ht="18" customHeight="1" s="124"/>
    <row r="170" ht="18" customHeight="1" s="124"/>
    <row r="171" ht="18" customHeight="1" s="124"/>
    <row r="172" ht="18" customHeight="1" s="124"/>
    <row r="173" ht="18" customHeight="1" s="124"/>
    <row r="174" ht="18" customHeight="1" s="124"/>
    <row r="175" ht="18" customHeight="1" s="124"/>
    <row r="176" ht="18" customHeight="1" s="124"/>
    <row r="177" ht="18" customHeight="1" s="124"/>
    <row r="178" ht="18" customHeight="1" s="124"/>
    <row r="179" ht="18" customHeight="1" s="124"/>
    <row r="180" ht="18" customHeight="1" s="124"/>
    <row r="181" ht="18" customHeight="1" s="124"/>
    <row r="182" ht="18" customHeight="1" s="124"/>
    <row r="183" ht="18" customHeight="1" s="124"/>
    <row r="184" ht="18" customHeight="1" s="124"/>
    <row r="185" ht="18" customHeight="1" s="124"/>
    <row r="186" ht="18" customHeight="1" s="124"/>
    <row r="187" ht="18" customHeight="1" s="124"/>
    <row r="188" ht="18" customHeight="1" s="124"/>
    <row r="189" ht="18" customHeight="1" s="124"/>
    <row r="190" ht="18" customHeight="1" s="124"/>
    <row r="191" ht="18" customHeight="1" s="124"/>
    <row r="192" ht="18" customHeight="1" s="124"/>
    <row r="193" ht="18" customHeight="1" s="124"/>
    <row r="194" ht="18" customHeight="1" s="124"/>
    <row r="195" ht="18" customHeight="1" s="124"/>
    <row r="196" ht="18" customHeight="1" s="124"/>
    <row r="197" ht="18" customHeight="1" s="124"/>
    <row r="198" ht="18" customHeight="1" s="124"/>
    <row r="199" ht="18" customHeight="1" s="124"/>
    <row r="200" ht="18" customHeight="1" s="124"/>
    <row r="201" ht="18" customHeight="1" s="124"/>
    <row r="202" ht="18" customHeight="1" s="124"/>
    <row r="203" ht="18" customHeight="1" s="124"/>
    <row r="204" ht="18" customHeight="1" s="124"/>
    <row r="205" ht="18" customHeight="1" s="124"/>
    <row r="206" ht="18" customHeight="1" s="124"/>
    <row r="207" ht="18" customHeight="1" s="124"/>
    <row r="208" ht="18" customHeight="1" s="124"/>
    <row r="209" ht="18" customHeight="1" s="124"/>
    <row r="210" ht="18" customHeight="1" s="124"/>
    <row r="211" ht="18" customHeight="1" s="124"/>
    <row r="212" ht="18" customHeight="1" s="124"/>
    <row r="213" ht="18" customHeight="1" s="124"/>
    <row r="214" ht="18" customHeight="1" s="124"/>
    <row r="215" ht="18" customHeight="1" s="124"/>
    <row r="216" ht="18" customHeight="1" s="124"/>
    <row r="217" ht="18" customHeight="1" s="124"/>
    <row r="218" ht="18" customHeight="1" s="124"/>
    <row r="219" ht="18" customHeight="1" s="124"/>
    <row r="220" ht="18" customHeight="1" s="124"/>
    <row r="221" ht="15.75" customHeight="1" s="124"/>
    <row r="222" ht="15.75" customHeight="1" s="124"/>
    <row r="223" ht="15.75" customHeight="1" s="124"/>
    <row r="224" ht="15.75" customHeight="1" s="124"/>
    <row r="225" ht="15.75" customHeight="1" s="124"/>
    <row r="226" ht="15.75" customHeight="1" s="124"/>
    <row r="227" ht="15.75" customHeight="1" s="124"/>
    <row r="228" ht="15.75" customHeight="1" s="124"/>
    <row r="229" ht="15.75" customHeight="1" s="124"/>
    <row r="230" ht="15.75" customHeight="1" s="124"/>
    <row r="231" ht="15.75" customHeight="1" s="124"/>
    <row r="232" ht="15.75" customHeight="1" s="124"/>
    <row r="233" ht="15.75" customHeight="1" s="124"/>
    <row r="234" ht="15.75" customHeight="1" s="124"/>
    <row r="235" ht="15.75" customHeight="1" s="124"/>
    <row r="236" ht="15.75" customHeight="1" s="124"/>
    <row r="237" ht="15.75" customHeight="1" s="124"/>
    <row r="238" ht="15.75" customHeight="1" s="124"/>
    <row r="239" ht="15.75" customHeight="1" s="124"/>
    <row r="240" ht="15.75" customHeight="1" s="124"/>
    <row r="241" ht="15.75" customHeight="1" s="124"/>
    <row r="242" ht="15.75" customHeight="1" s="124"/>
    <row r="243" ht="15.75" customHeight="1" s="124"/>
    <row r="244" ht="15.75" customHeight="1" s="124"/>
    <row r="245" ht="15.75" customHeight="1" s="124"/>
    <row r="246" ht="15.75" customHeight="1" s="124"/>
    <row r="247" ht="15.75" customHeight="1" s="124"/>
    <row r="248" ht="15.75" customHeight="1" s="124"/>
    <row r="249" ht="15.75" customHeight="1" s="124"/>
    <row r="250" ht="15.75" customHeight="1" s="124"/>
    <row r="251" ht="15.75" customHeight="1" s="124"/>
    <row r="252" ht="15.75" customHeight="1" s="124"/>
    <row r="253" ht="15.75" customHeight="1" s="124"/>
    <row r="254" ht="15.75" customHeight="1" s="124"/>
    <row r="255" ht="15.75" customHeight="1" s="124"/>
    <row r="256" ht="15.75" customHeight="1" s="124"/>
    <row r="257" ht="15.75" customHeight="1" s="124"/>
    <row r="258" ht="15.75" customHeight="1" s="124"/>
    <row r="259" ht="15.75" customHeight="1" s="124"/>
    <row r="260" ht="15.75" customHeight="1" s="124"/>
    <row r="261" ht="15.75" customHeight="1" s="124"/>
    <row r="262" ht="15.75" customHeight="1" s="124"/>
    <row r="263" ht="15.75" customHeight="1" s="124"/>
    <row r="264" ht="15.75" customHeight="1" s="124"/>
    <row r="265" ht="15.75" customHeight="1" s="124"/>
    <row r="266" ht="15.75" customHeight="1" s="124"/>
    <row r="267" ht="15.75" customHeight="1" s="124"/>
    <row r="268" ht="15.75" customHeight="1" s="124"/>
    <row r="269" ht="15.75" customHeight="1" s="124"/>
    <row r="270" ht="15.75" customHeight="1" s="124"/>
    <row r="271" ht="15.75" customHeight="1" s="124"/>
    <row r="272" ht="15.75" customHeight="1" s="124"/>
    <row r="273" ht="15.75" customHeight="1" s="124"/>
    <row r="274" ht="15.75" customHeight="1" s="124"/>
    <row r="275" ht="15.75" customHeight="1" s="124"/>
    <row r="276" ht="15.75" customHeight="1" s="124"/>
    <row r="277" ht="15.75" customHeight="1" s="124"/>
    <row r="278" ht="15.75" customHeight="1" s="124"/>
    <row r="279" ht="15.75" customHeight="1" s="124"/>
    <row r="280" ht="15.75" customHeight="1" s="124"/>
    <row r="281" ht="15.75" customHeight="1" s="124"/>
    <row r="282" ht="15.75" customHeight="1" s="124"/>
    <row r="283" ht="15.75" customHeight="1" s="124"/>
    <row r="284" ht="15.75" customHeight="1" s="124"/>
    <row r="285" ht="15.75" customHeight="1" s="124"/>
    <row r="286" ht="15.75" customHeight="1" s="124"/>
    <row r="287" ht="15.75" customHeight="1" s="124"/>
    <row r="288" ht="15.75" customHeight="1" s="124"/>
    <row r="289" ht="15.75" customHeight="1" s="124"/>
    <row r="290" ht="15.75" customHeight="1" s="124"/>
    <row r="291" ht="15.75" customHeight="1" s="124"/>
    <row r="292" ht="15.75" customHeight="1" s="124"/>
    <row r="293" ht="15.75" customHeight="1" s="124"/>
    <row r="294" ht="15.75" customHeight="1" s="124"/>
    <row r="295" ht="15.75" customHeight="1" s="124"/>
    <row r="296" ht="15.75" customHeight="1" s="124"/>
    <row r="297" ht="15.75" customHeight="1" s="124"/>
    <row r="298" ht="15.75" customHeight="1" s="124"/>
    <row r="299" ht="15.75" customHeight="1" s="124"/>
    <row r="300" ht="15.75" customHeight="1" s="124"/>
    <row r="301" ht="15.75" customHeight="1" s="124"/>
    <row r="302" ht="15.75" customHeight="1" s="124"/>
    <row r="303" ht="15.75" customHeight="1" s="124"/>
    <row r="304" ht="15.75" customHeight="1" s="124"/>
    <row r="305" ht="15.75" customHeight="1" s="124"/>
    <row r="306" ht="15.75" customHeight="1" s="124"/>
    <row r="307" ht="15.75" customHeight="1" s="124"/>
    <row r="308" ht="15.75" customHeight="1" s="124"/>
    <row r="309" ht="15.75" customHeight="1" s="124"/>
    <row r="310" ht="15.75" customHeight="1" s="124"/>
    <row r="311" ht="15.75" customHeight="1" s="124"/>
    <row r="312" ht="15.75" customHeight="1" s="124"/>
    <row r="313" ht="15.75" customHeight="1" s="124"/>
    <row r="314" ht="15.75" customHeight="1" s="124"/>
    <row r="315" ht="15.75" customHeight="1" s="124"/>
    <row r="316" ht="15.75" customHeight="1" s="124"/>
    <row r="317" ht="15.75" customHeight="1" s="124"/>
    <row r="318" ht="15.75" customHeight="1" s="124"/>
    <row r="319" ht="15.75" customHeight="1" s="124"/>
    <row r="320" ht="15.75" customHeight="1" s="124"/>
    <row r="321" ht="15.75" customHeight="1" s="124"/>
    <row r="322" ht="15.75" customHeight="1" s="124"/>
    <row r="323" ht="15.75" customHeight="1" s="124"/>
    <row r="324" ht="15.75" customHeight="1" s="124"/>
    <row r="325" ht="15.75" customHeight="1" s="124"/>
    <row r="326" ht="15.75" customHeight="1" s="124"/>
    <row r="327" ht="15.75" customHeight="1" s="124"/>
    <row r="328" ht="15.75" customHeight="1" s="124"/>
    <row r="329" ht="15.75" customHeight="1" s="124"/>
    <row r="330" ht="15.75" customHeight="1" s="124"/>
    <row r="331" ht="15.75" customHeight="1" s="124"/>
    <row r="332" ht="15.75" customHeight="1" s="124"/>
    <row r="333" ht="15.75" customHeight="1" s="124"/>
    <row r="334" ht="15.75" customHeight="1" s="124"/>
    <row r="335" ht="15.75" customHeight="1" s="124"/>
    <row r="336" ht="15.75" customHeight="1" s="124"/>
    <row r="337" ht="15.75" customHeight="1" s="124"/>
    <row r="338" ht="15.75" customHeight="1" s="124"/>
    <row r="339" ht="15.75" customHeight="1" s="124"/>
    <row r="340" ht="15.75" customHeight="1" s="124"/>
    <row r="341" ht="15.75" customHeight="1" s="124"/>
    <row r="342" ht="15.75" customHeight="1" s="124"/>
    <row r="343" ht="15.75" customHeight="1" s="124"/>
    <row r="344" ht="15.75" customHeight="1" s="124"/>
    <row r="345" ht="15.75" customHeight="1" s="124"/>
    <row r="346" ht="15.75" customHeight="1" s="124"/>
    <row r="347" ht="15.75" customHeight="1" s="124"/>
    <row r="348" ht="15.75" customHeight="1" s="124"/>
    <row r="349" ht="15.75" customHeight="1" s="124"/>
    <row r="350" ht="15.75" customHeight="1" s="124"/>
    <row r="351" ht="15.75" customHeight="1" s="124"/>
    <row r="352" ht="15.75" customHeight="1" s="124"/>
    <row r="353" ht="15.75" customHeight="1" s="124"/>
    <row r="354" ht="15.75" customHeight="1" s="124"/>
    <row r="355" ht="15.75" customHeight="1" s="124"/>
    <row r="356" ht="15.75" customHeight="1" s="124"/>
    <row r="357" ht="15.75" customHeight="1" s="124"/>
    <row r="358" ht="15.75" customHeight="1" s="124"/>
    <row r="359" ht="15.75" customHeight="1" s="124"/>
    <row r="360" ht="15.75" customHeight="1" s="124"/>
    <row r="361" ht="15.75" customHeight="1" s="124"/>
    <row r="362" ht="15.75" customHeight="1" s="124"/>
    <row r="363" ht="15.75" customHeight="1" s="124"/>
    <row r="364" ht="15.75" customHeight="1" s="124"/>
    <row r="365" ht="15.75" customHeight="1" s="124"/>
    <row r="366" ht="15.75" customHeight="1" s="124"/>
    <row r="367" ht="15.75" customHeight="1" s="124"/>
    <row r="368" ht="15.75" customHeight="1" s="124"/>
    <row r="369" ht="15.75" customHeight="1" s="124"/>
    <row r="370" ht="15.75" customHeight="1" s="124"/>
    <row r="371" ht="15.75" customHeight="1" s="124"/>
    <row r="372" ht="15.75" customHeight="1" s="124"/>
    <row r="373" ht="15.75" customHeight="1" s="124"/>
    <row r="374" ht="15.75" customHeight="1" s="124"/>
    <row r="375" ht="15.75" customHeight="1" s="124"/>
    <row r="376" ht="15.75" customHeight="1" s="124"/>
    <row r="377" ht="15.75" customHeight="1" s="124"/>
    <row r="378" ht="15.75" customHeight="1" s="124"/>
    <row r="379" ht="15.75" customHeight="1" s="124"/>
    <row r="380" ht="15.75" customHeight="1" s="124"/>
    <row r="381" ht="15.75" customHeight="1" s="124"/>
    <row r="382" ht="15.75" customHeight="1" s="124"/>
    <row r="383" ht="15.75" customHeight="1" s="124"/>
    <row r="384" ht="15.75" customHeight="1" s="124"/>
    <row r="385" ht="15.75" customHeight="1" s="124"/>
    <row r="386" ht="15.75" customHeight="1" s="124"/>
    <row r="387" ht="15.75" customHeight="1" s="124"/>
    <row r="388" ht="15.75" customHeight="1" s="124"/>
    <row r="389" ht="15.75" customHeight="1" s="124"/>
    <row r="390" ht="15.75" customHeight="1" s="124"/>
    <row r="391" ht="15.75" customHeight="1" s="124"/>
    <row r="392" ht="15.75" customHeight="1" s="124"/>
    <row r="393" ht="15.75" customHeight="1" s="124"/>
    <row r="394" ht="15.75" customHeight="1" s="124"/>
    <row r="395" ht="15.75" customHeight="1" s="124"/>
    <row r="396" ht="15.75" customHeight="1" s="124"/>
    <row r="397" ht="15.75" customHeight="1" s="124"/>
    <row r="398" ht="15.75" customHeight="1" s="124"/>
    <row r="399" ht="15.75" customHeight="1" s="124"/>
    <row r="400" ht="15.75" customHeight="1" s="124"/>
    <row r="401" ht="15.75" customHeight="1" s="124"/>
    <row r="402" ht="15.75" customHeight="1" s="124"/>
    <row r="403" ht="15.75" customHeight="1" s="124"/>
    <row r="404" ht="15.75" customHeight="1" s="124"/>
    <row r="405" ht="15.75" customHeight="1" s="124"/>
    <row r="406" ht="15.75" customHeight="1" s="124"/>
    <row r="407" ht="15.75" customHeight="1" s="124"/>
    <row r="408" ht="15.75" customHeight="1" s="124"/>
    <row r="409" ht="15.75" customHeight="1" s="124"/>
    <row r="410" ht="15.75" customHeight="1" s="124"/>
    <row r="411" ht="15.75" customHeight="1" s="124"/>
    <row r="412" ht="15.75" customHeight="1" s="124"/>
    <row r="413" ht="15.75" customHeight="1" s="124"/>
    <row r="414" ht="15.75" customHeight="1" s="124"/>
    <row r="415" ht="15.75" customHeight="1" s="124"/>
    <row r="416" ht="15.75" customHeight="1" s="124"/>
    <row r="417" ht="15.75" customHeight="1" s="124"/>
    <row r="418" ht="15.75" customHeight="1" s="124"/>
    <row r="419" ht="15.75" customHeight="1" s="124"/>
    <row r="420" ht="15.75" customHeight="1" s="124"/>
    <row r="421" ht="15.75" customHeight="1" s="124"/>
    <row r="422" ht="15.75" customHeight="1" s="124"/>
    <row r="423" ht="15.75" customHeight="1" s="124"/>
    <row r="424" ht="15.75" customHeight="1" s="124"/>
    <row r="425" ht="15.75" customHeight="1" s="124"/>
    <row r="426" ht="15.75" customHeight="1" s="124"/>
    <row r="427" ht="15.75" customHeight="1" s="124"/>
    <row r="428" ht="15.75" customHeight="1" s="124"/>
    <row r="429" ht="15.75" customHeight="1" s="124"/>
    <row r="430" ht="15.75" customHeight="1" s="124"/>
    <row r="431" ht="15.75" customHeight="1" s="124"/>
    <row r="432" ht="15.75" customHeight="1" s="124"/>
    <row r="433" ht="15.75" customHeight="1" s="124"/>
    <row r="434" ht="15.75" customHeight="1" s="124"/>
    <row r="435" ht="15.75" customHeight="1" s="124"/>
    <row r="436" ht="15.75" customHeight="1" s="124"/>
    <row r="437" ht="15.75" customHeight="1" s="124"/>
    <row r="438" ht="15.75" customHeight="1" s="124"/>
    <row r="439" ht="15.75" customHeight="1" s="124"/>
    <row r="440" ht="15.75" customHeight="1" s="124"/>
    <row r="441" ht="15.75" customHeight="1" s="124"/>
    <row r="442" ht="15.75" customHeight="1" s="124"/>
    <row r="443" ht="15.75" customHeight="1" s="124"/>
    <row r="444" ht="15.75" customHeight="1" s="124"/>
    <row r="445" ht="15.75" customHeight="1" s="124"/>
    <row r="446" ht="15.75" customHeight="1" s="124"/>
    <row r="447" ht="15.75" customHeight="1" s="124"/>
    <row r="448" ht="15.75" customHeight="1" s="124"/>
    <row r="449" ht="15.75" customHeight="1" s="124"/>
    <row r="450" ht="15.75" customHeight="1" s="124"/>
    <row r="451" ht="15.75" customHeight="1" s="124"/>
    <row r="452" ht="15.75" customHeight="1" s="124"/>
    <row r="453" ht="15.75" customHeight="1" s="124"/>
    <row r="454" ht="15.75" customHeight="1" s="124"/>
    <row r="455" ht="15.75" customHeight="1" s="124"/>
    <row r="456" ht="15.75" customHeight="1" s="124"/>
    <row r="457" ht="15.75" customHeight="1" s="124"/>
    <row r="458" ht="15.75" customHeight="1" s="124"/>
    <row r="459" ht="15.75" customHeight="1" s="124"/>
    <row r="460" ht="15.75" customHeight="1" s="124"/>
    <row r="461" ht="15.75" customHeight="1" s="124"/>
    <row r="462" ht="15.75" customHeight="1" s="124"/>
    <row r="463" ht="15.75" customHeight="1" s="124"/>
    <row r="464" ht="15.75" customHeight="1" s="124"/>
    <row r="465" ht="15.75" customHeight="1" s="124"/>
    <row r="466" ht="15.75" customHeight="1" s="124"/>
    <row r="467" ht="15.75" customHeight="1" s="124"/>
    <row r="468" ht="15.75" customHeight="1" s="124"/>
    <row r="469" ht="15.75" customHeight="1" s="124"/>
    <row r="470" ht="15.75" customHeight="1" s="124"/>
    <row r="471" ht="15.75" customHeight="1" s="124"/>
    <row r="472" ht="15.75" customHeight="1" s="124"/>
    <row r="473" ht="15.75" customHeight="1" s="124"/>
    <row r="474" ht="15.75" customHeight="1" s="124"/>
    <row r="475" ht="15.75" customHeight="1" s="124"/>
    <row r="476" ht="15.75" customHeight="1" s="124"/>
    <row r="477" ht="15.75" customHeight="1" s="124"/>
    <row r="478" ht="15.75" customHeight="1" s="124"/>
    <row r="479" ht="15.75" customHeight="1" s="124"/>
    <row r="480" ht="15.75" customHeight="1" s="124"/>
    <row r="481" ht="15.75" customHeight="1" s="124"/>
    <row r="482" ht="15.75" customHeight="1" s="124"/>
    <row r="483" ht="15.75" customHeight="1" s="124"/>
    <row r="484" ht="15.75" customHeight="1" s="124"/>
    <row r="485" ht="15.75" customHeight="1" s="124"/>
    <row r="486" ht="15.75" customHeight="1" s="124"/>
    <row r="487" ht="15.75" customHeight="1" s="124"/>
    <row r="488" ht="15.75" customHeight="1" s="124"/>
    <row r="489" ht="15.75" customHeight="1" s="124"/>
    <row r="490" ht="15.75" customHeight="1" s="124"/>
    <row r="491" ht="15.75" customHeight="1" s="124"/>
    <row r="492" ht="15.75" customHeight="1" s="124"/>
    <row r="493" ht="15.75" customHeight="1" s="124"/>
    <row r="494" ht="15.75" customHeight="1" s="124"/>
    <row r="495" ht="15.75" customHeight="1" s="124"/>
    <row r="496" ht="15.75" customHeight="1" s="124"/>
    <row r="497" ht="15.75" customHeight="1" s="124"/>
    <row r="498" ht="15.75" customHeight="1" s="124"/>
    <row r="499" ht="15.75" customHeight="1" s="124"/>
    <row r="500" ht="15.75" customHeight="1" s="124"/>
    <row r="501" ht="15.75" customHeight="1" s="124"/>
    <row r="502" ht="15.75" customHeight="1" s="124"/>
    <row r="503" ht="15.75" customHeight="1" s="124"/>
    <row r="504" ht="15.75" customHeight="1" s="124"/>
    <row r="505" ht="15.75" customHeight="1" s="124"/>
    <row r="506" ht="15.75" customHeight="1" s="124"/>
    <row r="507" ht="15.75" customHeight="1" s="124"/>
    <row r="508" ht="15.75" customHeight="1" s="124"/>
    <row r="509" ht="15.75" customHeight="1" s="124"/>
    <row r="510" ht="15.75" customHeight="1" s="124"/>
    <row r="511" ht="15.75" customHeight="1" s="124"/>
    <row r="512" ht="15.75" customHeight="1" s="124"/>
    <row r="513" ht="15.75" customHeight="1" s="124"/>
    <row r="514" ht="15.75" customHeight="1" s="124"/>
    <row r="515" ht="15.75" customHeight="1" s="124"/>
    <row r="516" ht="15.75" customHeight="1" s="124"/>
    <row r="517" ht="15.75" customHeight="1" s="124"/>
    <row r="518" ht="15.75" customHeight="1" s="124"/>
    <row r="519" ht="15.75" customHeight="1" s="124"/>
    <row r="520" ht="15.75" customHeight="1" s="124"/>
    <row r="521" ht="15.75" customHeight="1" s="124"/>
    <row r="522" ht="15.75" customHeight="1" s="124"/>
    <row r="523" ht="15.75" customHeight="1" s="124"/>
    <row r="524" ht="15.75" customHeight="1" s="124"/>
    <row r="525" ht="15.75" customHeight="1" s="124"/>
    <row r="526" ht="15.75" customHeight="1" s="124"/>
    <row r="527" ht="15.75" customHeight="1" s="124"/>
    <row r="528" ht="15.75" customHeight="1" s="124"/>
    <row r="529" ht="15.75" customHeight="1" s="124"/>
    <row r="530" ht="15.75" customHeight="1" s="124"/>
    <row r="531" ht="15.75" customHeight="1" s="124"/>
    <row r="532" ht="15.75" customHeight="1" s="124"/>
    <row r="533" ht="15.75" customHeight="1" s="124"/>
    <row r="534" ht="15.75" customHeight="1" s="124"/>
    <row r="535" ht="15.75" customHeight="1" s="124"/>
    <row r="536" ht="15.75" customHeight="1" s="124"/>
    <row r="537" ht="15.75" customHeight="1" s="124"/>
    <row r="538" ht="15.75" customHeight="1" s="124"/>
    <row r="539" ht="15.75" customHeight="1" s="124"/>
    <row r="540" ht="15.75" customHeight="1" s="124"/>
    <row r="541" ht="15.75" customHeight="1" s="124"/>
    <row r="542" ht="15.75" customHeight="1" s="124"/>
    <row r="543" ht="15.75" customHeight="1" s="124"/>
    <row r="544" ht="15.75" customHeight="1" s="124"/>
    <row r="545" ht="15.75" customHeight="1" s="124"/>
    <row r="546" ht="15.75" customHeight="1" s="124"/>
    <row r="547" ht="15.75" customHeight="1" s="124"/>
    <row r="548" ht="15.75" customHeight="1" s="124"/>
    <row r="549" ht="15.75" customHeight="1" s="124"/>
    <row r="550" ht="15.75" customHeight="1" s="124"/>
    <row r="551" ht="15.75" customHeight="1" s="124"/>
    <row r="552" ht="15.75" customHeight="1" s="124"/>
    <row r="553" ht="15.75" customHeight="1" s="124"/>
    <row r="554" ht="15.75" customHeight="1" s="124"/>
    <row r="555" ht="15.75" customHeight="1" s="124"/>
    <row r="556" ht="15.75" customHeight="1" s="124"/>
    <row r="557" ht="15.75" customHeight="1" s="124"/>
    <row r="558" ht="15.75" customHeight="1" s="124"/>
    <row r="559" ht="15.75" customHeight="1" s="124"/>
    <row r="560" ht="15.75" customHeight="1" s="124"/>
    <row r="561" ht="15.75" customHeight="1" s="124"/>
    <row r="562" ht="15.75" customHeight="1" s="124"/>
    <row r="563" ht="15.75" customHeight="1" s="124"/>
    <row r="564" ht="15.75" customHeight="1" s="124"/>
    <row r="565" ht="15.75" customHeight="1" s="124"/>
    <row r="566" ht="15.75" customHeight="1" s="124"/>
    <row r="567" ht="15.75" customHeight="1" s="124"/>
    <row r="568" ht="15.75" customHeight="1" s="124"/>
    <row r="569" ht="15.75" customHeight="1" s="124"/>
    <row r="570" ht="15.75" customHeight="1" s="124"/>
    <row r="571" ht="15.75" customHeight="1" s="124"/>
    <row r="572" ht="15.75" customHeight="1" s="124"/>
    <row r="573" ht="15.75" customHeight="1" s="124"/>
    <row r="574" ht="15.75" customHeight="1" s="124"/>
    <row r="575" ht="15.75" customHeight="1" s="124"/>
    <row r="576" ht="15.75" customHeight="1" s="124"/>
    <row r="577" ht="15.75" customHeight="1" s="124"/>
    <row r="578" ht="15.75" customHeight="1" s="124"/>
    <row r="579" ht="15.75" customHeight="1" s="124"/>
    <row r="580" ht="15.75" customHeight="1" s="124"/>
    <row r="581" ht="15.75" customHeight="1" s="124"/>
    <row r="582" ht="15.75" customHeight="1" s="124"/>
    <row r="583" ht="15.75" customHeight="1" s="124"/>
    <row r="584" ht="15.75" customHeight="1" s="124"/>
    <row r="585" ht="15.75" customHeight="1" s="124"/>
    <row r="586" ht="15.75" customHeight="1" s="124"/>
    <row r="587" ht="15.75" customHeight="1" s="124"/>
    <row r="588" ht="15.75" customHeight="1" s="124"/>
    <row r="589" ht="15.75" customHeight="1" s="124"/>
    <row r="590" ht="15.75" customHeight="1" s="124"/>
    <row r="591" ht="15.75" customHeight="1" s="124"/>
    <row r="592" ht="15.75" customHeight="1" s="124"/>
    <row r="593" ht="15.75" customHeight="1" s="124"/>
    <row r="594" ht="15.75" customHeight="1" s="124"/>
    <row r="595" ht="15.75" customHeight="1" s="124"/>
    <row r="596" ht="15.75" customHeight="1" s="124"/>
    <row r="597" ht="15.75" customHeight="1" s="124"/>
    <row r="598" ht="15.75" customHeight="1" s="124"/>
    <row r="599" ht="15.75" customHeight="1" s="124"/>
    <row r="600" ht="15.75" customHeight="1" s="124"/>
    <row r="601" ht="15.75" customHeight="1" s="124"/>
    <row r="602" ht="15.75" customHeight="1" s="124"/>
    <row r="603" ht="15.75" customHeight="1" s="124"/>
    <row r="604" ht="15.75" customHeight="1" s="124"/>
    <row r="605" ht="15.75" customHeight="1" s="124"/>
    <row r="606" ht="15.75" customHeight="1" s="124"/>
    <row r="607" ht="15.75" customHeight="1" s="124"/>
    <row r="608" ht="15.75" customHeight="1" s="124"/>
    <row r="609" ht="15.75" customHeight="1" s="124"/>
    <row r="610" ht="15.75" customHeight="1" s="124"/>
    <row r="611" ht="15.75" customHeight="1" s="124"/>
    <row r="612" ht="15.75" customHeight="1" s="124"/>
    <row r="613" ht="15.75" customHeight="1" s="124"/>
    <row r="614" ht="15.75" customHeight="1" s="124"/>
    <row r="615" ht="15.75" customHeight="1" s="124"/>
    <row r="616" ht="15.75" customHeight="1" s="124"/>
    <row r="617" ht="15.75" customHeight="1" s="124"/>
    <row r="618" ht="15.75" customHeight="1" s="124"/>
    <row r="619" ht="15.75" customHeight="1" s="124"/>
    <row r="620" ht="15.75" customHeight="1" s="124"/>
    <row r="621" ht="15.75" customHeight="1" s="124"/>
    <row r="622" ht="15.75" customHeight="1" s="124"/>
    <row r="623" ht="15.75" customHeight="1" s="124"/>
    <row r="624" ht="15.75" customHeight="1" s="124"/>
    <row r="625" ht="15.75" customHeight="1" s="124"/>
    <row r="626" ht="15.75" customHeight="1" s="124"/>
    <row r="627" ht="15.75" customHeight="1" s="124"/>
    <row r="628" ht="15.75" customHeight="1" s="124"/>
    <row r="629" ht="15.75" customHeight="1" s="124"/>
    <row r="630" ht="15.75" customHeight="1" s="124"/>
    <row r="631" ht="15.75" customHeight="1" s="124"/>
    <row r="632" ht="15.75" customHeight="1" s="124"/>
    <row r="633" ht="15.75" customHeight="1" s="124"/>
    <row r="634" ht="15.75" customHeight="1" s="124"/>
    <row r="635" ht="15.75" customHeight="1" s="124"/>
    <row r="636" ht="15.75" customHeight="1" s="124"/>
    <row r="637" ht="15.75" customHeight="1" s="124"/>
    <row r="638" ht="15.75" customHeight="1" s="124"/>
    <row r="639" ht="15.75" customHeight="1" s="124"/>
    <row r="640" ht="15.75" customHeight="1" s="124"/>
    <row r="641" ht="15.75" customHeight="1" s="124"/>
    <row r="642" ht="15.75" customHeight="1" s="124"/>
    <row r="643" ht="15.75" customHeight="1" s="124"/>
    <row r="644" ht="15.75" customHeight="1" s="124"/>
    <row r="645" ht="15.75" customHeight="1" s="124"/>
    <row r="646" ht="15.75" customHeight="1" s="124"/>
    <row r="647" ht="15.75" customHeight="1" s="124"/>
    <row r="648" ht="15.75" customHeight="1" s="124"/>
    <row r="649" ht="15.75" customHeight="1" s="124"/>
    <row r="650" ht="15.75" customHeight="1" s="124"/>
    <row r="651" ht="15.75" customHeight="1" s="124"/>
    <row r="652" ht="15.75" customHeight="1" s="124"/>
    <row r="653" ht="15.75" customHeight="1" s="124"/>
    <row r="654" ht="15.75" customHeight="1" s="124"/>
    <row r="655" ht="15.75" customHeight="1" s="124"/>
    <row r="656" ht="15.75" customHeight="1" s="124"/>
    <row r="657" ht="15.75" customHeight="1" s="124"/>
    <row r="658" ht="15.75" customHeight="1" s="124"/>
    <row r="659" ht="15.75" customHeight="1" s="124"/>
    <row r="660" ht="15.75" customHeight="1" s="124"/>
    <row r="661" ht="15.75" customHeight="1" s="124"/>
    <row r="662" ht="15.75" customHeight="1" s="124"/>
    <row r="663" ht="15.75" customHeight="1" s="124"/>
    <row r="664" ht="15.75" customHeight="1" s="124"/>
    <row r="665" ht="15.75" customHeight="1" s="124"/>
    <row r="666" ht="15.75" customHeight="1" s="124"/>
    <row r="667" ht="15.75" customHeight="1" s="124"/>
    <row r="668" ht="15.75" customHeight="1" s="124"/>
    <row r="669" ht="15.75" customHeight="1" s="124"/>
    <row r="670" ht="15.75" customHeight="1" s="124"/>
    <row r="671" ht="15.75" customHeight="1" s="124"/>
    <row r="672" ht="15.75" customHeight="1" s="124"/>
    <row r="673" ht="15.75" customHeight="1" s="124"/>
    <row r="674" ht="15.75" customHeight="1" s="124"/>
    <row r="675" ht="15.75" customHeight="1" s="124"/>
    <row r="676" ht="15.75" customHeight="1" s="124"/>
    <row r="677" ht="15.75" customHeight="1" s="124"/>
    <row r="678" ht="15.75" customHeight="1" s="124"/>
    <row r="679" ht="15.75" customHeight="1" s="124"/>
    <row r="680" ht="15.75" customHeight="1" s="124"/>
    <row r="681" ht="15.75" customHeight="1" s="124"/>
    <row r="682" ht="15.75" customHeight="1" s="124"/>
    <row r="683" ht="15.75" customHeight="1" s="124"/>
    <row r="684" ht="15.75" customHeight="1" s="124"/>
    <row r="685" ht="15.75" customHeight="1" s="124"/>
    <row r="686" ht="15.75" customHeight="1" s="124"/>
    <row r="687" ht="15.75" customHeight="1" s="124"/>
    <row r="688" ht="15.75" customHeight="1" s="124"/>
    <row r="689" ht="15.75" customHeight="1" s="124"/>
    <row r="690" ht="15.75" customHeight="1" s="124"/>
    <row r="691" ht="15.75" customHeight="1" s="124"/>
    <row r="692" ht="15.75" customHeight="1" s="124"/>
    <row r="693" ht="15.75" customHeight="1" s="124"/>
    <row r="694" ht="15.75" customHeight="1" s="124"/>
    <row r="695" ht="15.75" customHeight="1" s="124"/>
    <row r="696" ht="15.75" customHeight="1" s="124"/>
    <row r="697" ht="15.75" customHeight="1" s="124"/>
    <row r="698" ht="15.75" customHeight="1" s="124"/>
    <row r="699" ht="15.75" customHeight="1" s="124"/>
    <row r="700" ht="15.75" customHeight="1" s="124"/>
    <row r="701" ht="15.75" customHeight="1" s="124"/>
    <row r="702" ht="15.75" customHeight="1" s="124"/>
    <row r="703" ht="15.75" customHeight="1" s="124"/>
    <row r="704" ht="15.75" customHeight="1" s="124"/>
    <row r="705" ht="15.75" customHeight="1" s="124"/>
    <row r="706" ht="15.75" customHeight="1" s="124"/>
    <row r="707" ht="15.75" customHeight="1" s="124"/>
    <row r="708" ht="15.75" customHeight="1" s="124"/>
    <row r="709" ht="15.75" customHeight="1" s="124"/>
    <row r="710" ht="15.75" customHeight="1" s="124"/>
    <row r="711" ht="15.75" customHeight="1" s="124"/>
    <row r="712" ht="15.75" customHeight="1" s="124"/>
    <row r="713" ht="15.75" customHeight="1" s="124"/>
    <row r="714" ht="15.75" customHeight="1" s="124"/>
    <row r="715" ht="15.75" customHeight="1" s="124"/>
    <row r="716" ht="15.75" customHeight="1" s="124"/>
    <row r="717" ht="15.75" customHeight="1" s="124"/>
    <row r="718" ht="15.75" customHeight="1" s="124"/>
    <row r="719" ht="15.75" customHeight="1" s="124"/>
    <row r="720" ht="15.75" customHeight="1" s="124"/>
    <row r="721" ht="15.75" customHeight="1" s="124"/>
    <row r="722" ht="15.75" customHeight="1" s="124"/>
    <row r="723" ht="15.75" customHeight="1" s="124"/>
    <row r="724" ht="15.75" customHeight="1" s="124"/>
    <row r="725" ht="15.75" customHeight="1" s="124"/>
    <row r="726" ht="15.75" customHeight="1" s="124"/>
    <row r="727" ht="15.75" customHeight="1" s="124"/>
    <row r="728" ht="15.75" customHeight="1" s="124"/>
    <row r="729" ht="15.75" customHeight="1" s="124"/>
    <row r="730" ht="15.75" customHeight="1" s="124"/>
    <row r="731" ht="15.75" customHeight="1" s="124"/>
    <row r="732" ht="15.75" customHeight="1" s="124"/>
    <row r="733" ht="15.75" customHeight="1" s="124"/>
    <row r="734" ht="15.75" customHeight="1" s="124"/>
    <row r="735" ht="15.75" customHeight="1" s="124"/>
    <row r="736" ht="15.75" customHeight="1" s="124"/>
    <row r="737" ht="15.75" customHeight="1" s="124"/>
    <row r="738" ht="15.75" customHeight="1" s="124"/>
    <row r="739" ht="15.75" customHeight="1" s="124"/>
    <row r="740" ht="15.75" customHeight="1" s="124"/>
    <row r="741" ht="15.75" customHeight="1" s="124"/>
    <row r="742" ht="15.75" customHeight="1" s="124"/>
    <row r="743" ht="15.75" customHeight="1" s="124"/>
    <row r="744" ht="15.75" customHeight="1" s="124"/>
    <row r="745" ht="15.75" customHeight="1" s="124"/>
    <row r="746" ht="15.75" customHeight="1" s="124"/>
    <row r="747" ht="15.75" customHeight="1" s="124"/>
    <row r="748" ht="15.75" customHeight="1" s="124"/>
    <row r="749" ht="15.75" customHeight="1" s="124"/>
    <row r="750" ht="15.75" customHeight="1" s="124"/>
    <row r="751" ht="15.75" customHeight="1" s="124"/>
    <row r="752" ht="15.75" customHeight="1" s="124"/>
    <row r="753" ht="15.75" customHeight="1" s="124"/>
    <row r="754" ht="15.75" customHeight="1" s="124"/>
    <row r="755" ht="15.75" customHeight="1" s="124"/>
    <row r="756" ht="15.75" customHeight="1" s="124"/>
    <row r="757" ht="15.75" customHeight="1" s="124"/>
    <row r="758" ht="15.75" customHeight="1" s="124"/>
    <row r="759" ht="15.75" customHeight="1" s="124"/>
    <row r="760" ht="15.75" customHeight="1" s="124"/>
    <row r="761" ht="15.75" customHeight="1" s="124"/>
    <row r="762" ht="15.75" customHeight="1" s="124"/>
    <row r="763" ht="15.75" customHeight="1" s="124"/>
    <row r="764" ht="15.75" customHeight="1" s="124"/>
    <row r="765" ht="15.75" customHeight="1" s="124"/>
    <row r="766" ht="15.75" customHeight="1" s="124"/>
    <row r="767" ht="15.75" customHeight="1" s="124"/>
    <row r="768" ht="15.75" customHeight="1" s="124"/>
    <row r="769" ht="15.75" customHeight="1" s="124"/>
    <row r="770" ht="15.75" customHeight="1" s="124"/>
    <row r="771" ht="15.75" customHeight="1" s="124"/>
    <row r="772" ht="15.75" customHeight="1" s="124"/>
    <row r="773" ht="15.75" customHeight="1" s="124"/>
    <row r="774" ht="15.75" customHeight="1" s="124"/>
    <row r="775" ht="15.75" customHeight="1" s="124"/>
    <row r="776" ht="15.75" customHeight="1" s="124"/>
    <row r="777" ht="15.75" customHeight="1" s="124"/>
    <row r="778" ht="15.75" customHeight="1" s="124"/>
    <row r="779" ht="15.75" customHeight="1" s="124"/>
    <row r="780" ht="15.75" customHeight="1" s="124"/>
    <row r="781" ht="15.75" customHeight="1" s="124"/>
    <row r="782" ht="15.75" customHeight="1" s="124"/>
    <row r="783" ht="15.75" customHeight="1" s="124"/>
    <row r="784" ht="15.75" customHeight="1" s="124"/>
    <row r="785" ht="15.75" customHeight="1" s="124"/>
    <row r="786" ht="15.75" customHeight="1" s="124"/>
    <row r="787" ht="15.75" customHeight="1" s="124"/>
    <row r="788" ht="15.75" customHeight="1" s="124"/>
    <row r="789" ht="15.75" customHeight="1" s="124"/>
    <row r="790" ht="15.75" customHeight="1" s="124"/>
    <row r="791" ht="15.75" customHeight="1" s="124"/>
    <row r="792" ht="15.75" customHeight="1" s="124"/>
    <row r="793" ht="15.75" customHeight="1" s="124"/>
    <row r="794" ht="15.75" customHeight="1" s="124"/>
    <row r="795" ht="15.75" customHeight="1" s="124"/>
    <row r="796" ht="15.75" customHeight="1" s="124"/>
    <row r="797" ht="15.75" customHeight="1" s="124"/>
    <row r="798" ht="15.75" customHeight="1" s="124"/>
    <row r="799" ht="15.75" customHeight="1" s="124"/>
    <row r="800" ht="15.75" customHeight="1" s="124"/>
    <row r="801" ht="15.75" customHeight="1" s="124"/>
    <row r="802" ht="15.75" customHeight="1" s="124"/>
    <row r="803" ht="15.75" customHeight="1" s="124"/>
    <row r="804" ht="15.75" customHeight="1" s="124"/>
    <row r="805" ht="15.75" customHeight="1" s="124"/>
    <row r="806" ht="15.75" customHeight="1" s="124"/>
    <row r="807" ht="15.75" customHeight="1" s="124"/>
    <row r="808" ht="15.75" customHeight="1" s="124"/>
    <row r="809" ht="15.75" customHeight="1" s="124"/>
    <row r="810" ht="15.75" customHeight="1" s="124"/>
    <row r="811" ht="15.75" customHeight="1" s="124"/>
    <row r="812" ht="15.75" customHeight="1" s="124"/>
    <row r="813" ht="15.75" customHeight="1" s="124"/>
    <row r="814" ht="15.75" customHeight="1" s="124"/>
    <row r="815" ht="15.75" customHeight="1" s="124"/>
    <row r="816" ht="15.75" customHeight="1" s="124"/>
    <row r="817" ht="15.75" customHeight="1" s="124"/>
    <row r="818" ht="15.75" customHeight="1" s="124"/>
    <row r="819" ht="15.75" customHeight="1" s="124"/>
    <row r="820" ht="15.75" customHeight="1" s="124"/>
    <row r="821" ht="15.75" customHeight="1" s="124"/>
    <row r="822" ht="15.75" customHeight="1" s="124"/>
    <row r="823" ht="15.75" customHeight="1" s="124"/>
    <row r="824" ht="15.75" customHeight="1" s="124"/>
    <row r="825" ht="15.75" customHeight="1" s="124"/>
    <row r="826" ht="15.75" customHeight="1" s="124"/>
    <row r="827" ht="15.75" customHeight="1" s="124"/>
    <row r="828" ht="15.75" customHeight="1" s="124"/>
    <row r="829" ht="15.75" customHeight="1" s="124"/>
    <row r="830" ht="15.75" customHeight="1" s="124"/>
    <row r="831" ht="15.75" customHeight="1" s="124"/>
    <row r="832" ht="15.75" customHeight="1" s="124"/>
    <row r="833" ht="15.75" customHeight="1" s="124"/>
    <row r="834" ht="15.75" customHeight="1" s="124"/>
    <row r="835" ht="15.75" customHeight="1" s="124"/>
    <row r="836" ht="15.75" customHeight="1" s="124"/>
    <row r="837" ht="15.75" customHeight="1" s="124"/>
    <row r="838" ht="15.75" customHeight="1" s="124"/>
    <row r="839" ht="15.75" customHeight="1" s="124"/>
    <row r="840" ht="15.75" customHeight="1" s="124"/>
    <row r="841" ht="15.75" customHeight="1" s="124"/>
    <row r="842" ht="15.75" customHeight="1" s="124"/>
    <row r="843" ht="15.75" customHeight="1" s="124"/>
    <row r="844" ht="15.75" customHeight="1" s="124"/>
    <row r="845" ht="15.75" customHeight="1" s="124"/>
    <row r="846" ht="15.75" customHeight="1" s="124"/>
    <row r="847" ht="15.75" customHeight="1" s="124"/>
    <row r="848" ht="15.75" customHeight="1" s="124"/>
    <row r="849" ht="15.75" customHeight="1" s="124"/>
    <row r="850" ht="15.75" customHeight="1" s="124"/>
    <row r="851" ht="15.75" customHeight="1" s="124"/>
    <row r="852" ht="15.75" customHeight="1" s="124"/>
    <row r="853" ht="15.75" customHeight="1" s="124"/>
    <row r="854" ht="15.75" customHeight="1" s="124"/>
    <row r="855" ht="15.75" customHeight="1" s="124"/>
    <row r="856" ht="15.75" customHeight="1" s="124"/>
    <row r="857" ht="15.75" customHeight="1" s="124"/>
    <row r="858" ht="15.75" customHeight="1" s="124"/>
    <row r="859" ht="15.75" customHeight="1" s="124"/>
    <row r="860" ht="15.75" customHeight="1" s="124"/>
    <row r="861" ht="15.75" customHeight="1" s="124"/>
    <row r="862" ht="15.75" customHeight="1" s="124"/>
    <row r="863" ht="15.75" customHeight="1" s="124"/>
    <row r="864" ht="15.75" customHeight="1" s="124"/>
    <row r="865" ht="15.75" customHeight="1" s="124"/>
    <row r="866" ht="15.75" customHeight="1" s="124"/>
    <row r="867" ht="15.75" customHeight="1" s="124"/>
    <row r="868" ht="15.75" customHeight="1" s="124"/>
    <row r="869" ht="15.75" customHeight="1" s="124"/>
    <row r="870" ht="15.75" customHeight="1" s="124"/>
    <row r="871" ht="15.75" customHeight="1" s="124"/>
    <row r="872" ht="15.75" customHeight="1" s="124"/>
    <row r="873" ht="15.75" customHeight="1" s="124"/>
    <row r="874" ht="15.75" customHeight="1" s="124"/>
    <row r="875" ht="15.75" customHeight="1" s="124"/>
    <row r="876" ht="15.75" customHeight="1" s="124"/>
    <row r="877" ht="15.75" customHeight="1" s="124"/>
    <row r="878" ht="15.75" customHeight="1" s="124"/>
    <row r="879" ht="15.75" customHeight="1" s="124"/>
    <row r="880" ht="15.75" customHeight="1" s="124"/>
    <row r="881" ht="15.75" customHeight="1" s="124"/>
    <row r="882" ht="15.75" customHeight="1" s="124"/>
    <row r="883" ht="15.75" customHeight="1" s="124"/>
    <row r="884" ht="15.75" customHeight="1" s="124"/>
    <row r="885" ht="15.75" customHeight="1" s="124"/>
    <row r="886" ht="15.75" customHeight="1" s="124"/>
    <row r="887" ht="15.75" customHeight="1" s="124"/>
    <row r="888" ht="15.75" customHeight="1" s="124"/>
    <row r="889" ht="15.75" customHeight="1" s="124"/>
    <row r="890" ht="15.75" customHeight="1" s="124"/>
    <row r="891" ht="15.75" customHeight="1" s="124"/>
    <row r="892" ht="15.75" customHeight="1" s="124"/>
    <row r="893" ht="15.75" customHeight="1" s="124"/>
    <row r="894" ht="15.75" customHeight="1" s="124"/>
    <row r="895" ht="15.75" customHeight="1" s="124"/>
    <row r="896" ht="15.75" customHeight="1" s="124"/>
    <row r="897" ht="15.75" customHeight="1" s="124"/>
    <row r="898" ht="15.75" customHeight="1" s="124"/>
    <row r="899" ht="15.75" customHeight="1" s="124"/>
    <row r="900" ht="15.75" customHeight="1" s="124"/>
    <row r="901" ht="15.75" customHeight="1" s="124"/>
    <row r="902" ht="15.75" customHeight="1" s="124"/>
    <row r="903" ht="15.75" customHeight="1" s="124"/>
    <row r="904" ht="15.75" customHeight="1" s="124"/>
    <row r="905" ht="15.75" customHeight="1" s="124"/>
    <row r="906" ht="15.75" customHeight="1" s="124"/>
    <row r="907" ht="15.75" customHeight="1" s="124"/>
    <row r="908" ht="15.75" customHeight="1" s="124"/>
    <row r="909" ht="15.75" customHeight="1" s="124"/>
    <row r="910" ht="15.75" customHeight="1" s="124"/>
    <row r="911" ht="15.75" customHeight="1" s="124"/>
    <row r="912" ht="15.75" customHeight="1" s="124"/>
    <row r="913" ht="15.75" customHeight="1" s="124"/>
    <row r="914" ht="15.75" customHeight="1" s="124"/>
    <row r="915" ht="15.75" customHeight="1" s="124"/>
    <row r="916" ht="15.75" customHeight="1" s="124"/>
    <row r="917" ht="15.75" customHeight="1" s="124"/>
    <row r="918" ht="15.75" customHeight="1" s="124"/>
    <row r="919" ht="15.75" customHeight="1" s="124"/>
    <row r="920" ht="15.75" customHeight="1" s="124"/>
    <row r="921" ht="15.75" customHeight="1" s="124"/>
    <row r="922" ht="15.75" customHeight="1" s="124"/>
    <row r="923" ht="15.75" customHeight="1" s="124"/>
    <row r="924" ht="15.75" customHeight="1" s="124"/>
    <row r="925" ht="15.75" customHeight="1" s="124"/>
    <row r="926" ht="15.75" customHeight="1" s="124"/>
    <row r="927" ht="15.75" customHeight="1" s="124"/>
    <row r="928" ht="15.75" customHeight="1" s="124"/>
    <row r="929" ht="15.75" customHeight="1" s="124"/>
    <row r="930" ht="15.75" customHeight="1" s="124"/>
    <row r="931" ht="15.75" customHeight="1" s="124"/>
    <row r="932" ht="15.75" customHeight="1" s="124"/>
    <row r="933" ht="15.75" customHeight="1" s="124"/>
    <row r="934" ht="15.75" customHeight="1" s="124"/>
    <row r="935" ht="15.75" customHeight="1" s="124"/>
    <row r="936" ht="15.75" customHeight="1" s="124"/>
    <row r="937" ht="15.75" customHeight="1" s="124"/>
    <row r="938" ht="15.75" customHeight="1" s="124"/>
    <row r="939" ht="15.75" customHeight="1" s="124"/>
    <row r="940" ht="15.75" customHeight="1" s="124"/>
    <row r="941" ht="15.75" customHeight="1" s="124"/>
    <row r="942" ht="15.75" customHeight="1" s="124"/>
    <row r="943" ht="15.75" customHeight="1" s="124"/>
    <row r="944" ht="15.75" customHeight="1" s="124"/>
    <row r="945" ht="15.75" customHeight="1" s="124"/>
    <row r="946" ht="15.75" customHeight="1" s="124"/>
    <row r="947" ht="15.75" customHeight="1" s="124"/>
    <row r="948" ht="15.75" customHeight="1" s="124"/>
    <row r="949" ht="15.75" customHeight="1" s="124"/>
    <row r="950" ht="15.75" customHeight="1" s="124"/>
    <row r="951" ht="15.75" customHeight="1" s="124"/>
    <row r="952" ht="15.75" customHeight="1" s="124"/>
    <row r="953" ht="15.75" customHeight="1" s="124"/>
    <row r="954" ht="15.75" customHeight="1" s="124"/>
    <row r="955" ht="15.75" customHeight="1" s="124"/>
    <row r="956" ht="15.75" customHeight="1" s="124"/>
    <row r="957" ht="15.75" customHeight="1" s="124"/>
    <row r="958" ht="15.75" customHeight="1" s="124"/>
    <row r="959" ht="15.75" customHeight="1" s="124"/>
    <row r="960" ht="15.75" customHeight="1" s="124"/>
    <row r="961" ht="15.75" customHeight="1" s="124"/>
    <row r="962" ht="15.75" customHeight="1" s="124"/>
    <row r="963" ht="15.75" customHeight="1" s="124"/>
    <row r="964" ht="15.75" customHeight="1" s="124"/>
    <row r="965" ht="15.75" customHeight="1" s="124"/>
    <row r="966" ht="15.75" customHeight="1" s="124"/>
    <row r="967" ht="15.75" customHeight="1" s="124"/>
    <row r="968" ht="15.75" customHeight="1" s="124"/>
    <row r="969" ht="15.75" customHeight="1" s="124"/>
    <row r="970" ht="15.75" customHeight="1" s="124"/>
    <row r="971" ht="15.75" customHeight="1" s="124"/>
    <row r="972" ht="15.75" customHeight="1" s="124"/>
    <row r="973" ht="15.75" customHeight="1" s="124"/>
    <row r="974" ht="15.75" customHeight="1" s="124"/>
    <row r="975" ht="15.75" customHeight="1" s="124"/>
    <row r="976" ht="15.75" customHeight="1" s="124"/>
    <row r="977" ht="15.75" customHeight="1" s="124"/>
    <row r="978" ht="15.75" customHeight="1" s="124"/>
    <row r="979" ht="15.75" customHeight="1" s="124"/>
    <row r="980" ht="15.75" customHeight="1" s="124"/>
    <row r="981" ht="15.75" customHeight="1" s="124"/>
    <row r="982" ht="15.75" customHeight="1" s="124"/>
    <row r="983" ht="15.75" customHeight="1" s="124"/>
    <row r="984" ht="15.75" customHeight="1" s="124"/>
    <row r="985" ht="15.75" customHeight="1" s="124"/>
    <row r="986" ht="15.75" customHeight="1" s="124"/>
    <row r="987" ht="15.75" customHeight="1" s="124"/>
    <row r="988" ht="15.75" customHeight="1" s="124"/>
    <row r="989" ht="15.75" customHeight="1" s="124"/>
    <row r="990" ht="15.75" customHeight="1" s="124"/>
    <row r="991" ht="15.75" customHeight="1" s="124"/>
    <row r="992" ht="15.75" customHeight="1" s="124"/>
    <row r="993" ht="15.75" customHeight="1" s="124"/>
    <row r="994" ht="15.75" customHeight="1" s="124"/>
    <row r="995" ht="15.75" customHeight="1" s="124"/>
    <row r="996" ht="15.75" customHeight="1" s="124"/>
    <row r="997" ht="15.75" customHeight="1" s="124"/>
    <row r="998" ht="15.75" customHeight="1" s="124"/>
    <row r="999" ht="15.75" customHeight="1" s="124"/>
    <row r="1000" ht="15.75" customHeight="1" s="12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2026-05-26T17:48:11Z</dcterms:created>
  <dcterms:modified xmlns:dcterms="http://purl.org/dc/terms/" xmlns:xsi="http://www.w3.org/2001/XMLSchema-instance" xsi:type="dcterms:W3CDTF">2026-05-26T17:48:11Z</dcterms:modified>
</cp:coreProperties>
</file>